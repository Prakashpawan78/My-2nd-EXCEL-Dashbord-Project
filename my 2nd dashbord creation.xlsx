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omprakash raj\Documents\"/>
    </mc:Choice>
  </mc:AlternateContent>
  <xr:revisionPtr revIDLastSave="0" documentId="13_ncr:1_{89A23FFE-5298-4D31-BF86-FDE05767BBF5}" xr6:coauthVersionLast="36" xr6:coauthVersionMax="36" xr10:uidLastSave="{00000000-0000-0000-0000-000000000000}"/>
  <bookViews>
    <workbookView xWindow="0" yWindow="0" windowWidth="16410" windowHeight="9915" activeTab="1" xr2:uid="{8AFF1DC0-2854-4771-BA13-C34B436A73AD}"/>
  </bookViews>
  <sheets>
    <sheet name="Sheet1" sheetId="4" r:id="rId1"/>
    <sheet name="Dashbord" sheetId="3" r:id="rId2"/>
    <sheet name="Data" sheetId="1" r:id="rId3"/>
  </sheets>
  <definedNames>
    <definedName name="Slicer_Month">#N/A</definedName>
    <definedName name="Slicer_Order_Date">#N/A</definedName>
    <definedName name="Slicer_Product_Name">#N/A</definedName>
    <definedName name="Slicer_Region">#N/A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8" i="4" l="1"/>
  <c r="B35" i="4"/>
</calcChain>
</file>

<file path=xl/sharedStrings.xml><?xml version="1.0" encoding="utf-8"?>
<sst xmlns="http://schemas.openxmlformats.org/spreadsheetml/2006/main" count="139" uniqueCount="54">
  <si>
    <t>Order ID</t>
  </si>
  <si>
    <t>Order Date</t>
  </si>
  <si>
    <t>Month</t>
  </si>
  <si>
    <t>Region</t>
  </si>
  <si>
    <t>State</t>
  </si>
  <si>
    <t>Sales Person</t>
  </si>
  <si>
    <t>Product Category</t>
  </si>
  <si>
    <t>Product Name</t>
  </si>
  <si>
    <t>Quantity</t>
  </si>
  <si>
    <t>Unit Price</t>
  </si>
  <si>
    <t>Total Sales</t>
  </si>
  <si>
    <t>Profit</t>
  </si>
  <si>
    <t>Jan</t>
  </si>
  <si>
    <t>North</t>
  </si>
  <si>
    <t>Delhi</t>
  </si>
  <si>
    <t>Rahul</t>
  </si>
  <si>
    <t>Electronics</t>
  </si>
  <si>
    <t>Laptop</t>
  </si>
  <si>
    <t>East</t>
  </si>
  <si>
    <t>Bihar</t>
  </si>
  <si>
    <t>Amit</t>
  </si>
  <si>
    <t>Furniture</t>
  </si>
  <si>
    <t>Chair</t>
  </si>
  <si>
    <t>West</t>
  </si>
  <si>
    <t>Maharashtra</t>
  </si>
  <si>
    <t>Neha</t>
  </si>
  <si>
    <t>Mobile</t>
  </si>
  <si>
    <t>South</t>
  </si>
  <si>
    <t>Tamil Nadu</t>
  </si>
  <si>
    <t>Kiran</t>
  </si>
  <si>
    <t>Office Supplies</t>
  </si>
  <si>
    <t>Printer</t>
  </si>
  <si>
    <t>Feb</t>
  </si>
  <si>
    <t>UP</t>
  </si>
  <si>
    <t>Table</t>
  </si>
  <si>
    <t>14-02-2024</t>
  </si>
  <si>
    <t>Tablet</t>
  </si>
  <si>
    <t>18-02-2024</t>
  </si>
  <si>
    <t>Gujarat</t>
  </si>
  <si>
    <t>Scanner</t>
  </si>
  <si>
    <t>22-02-2024</t>
  </si>
  <si>
    <t>Karnataka</t>
  </si>
  <si>
    <t>Mar</t>
  </si>
  <si>
    <t>Jharkhand</t>
  </si>
  <si>
    <t>Sofa</t>
  </si>
  <si>
    <t>15-03-2024</t>
  </si>
  <si>
    <t>Headphones</t>
  </si>
  <si>
    <t>20-03-2024</t>
  </si>
  <si>
    <t>Kerala</t>
  </si>
  <si>
    <t>Monitor</t>
  </si>
  <si>
    <t>Row Labels</t>
  </si>
  <si>
    <t>Grand Total</t>
  </si>
  <si>
    <t>Sum of Total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</si>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</sst>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0" xfId="0"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0" xfId="0" applyNumberFormat="1"/>
    <xf numFmtId="3"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2" defaultPivotStyle="PivotStyleLight16"/>
  <colors>
    <mruColors>
      <color rgb="FF000000"/>
      <color rgb="FF7D3D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2nd dashbord creation.xlsx]Sheet1!PivotTable1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pivotFmt>
      <c:pivotFmt>
        <c:idx val="4"/>
        <c:spPr>
          <a:solidFill>
            <a:srgbClr val="00B050"/>
          </a:solidFill>
          <a:ln>
            <a:noFill/>
          </a:ln>
          <a:effectLst/>
        </c:spPr>
      </c:pivotFmt>
      <c:pivotFmt>
        <c:idx val="5"/>
        <c:spPr>
          <a:solidFill>
            <a:srgbClr val="FFFF00"/>
          </a:solidFill>
          <a:ln>
            <a:noFill/>
          </a:ln>
          <a:effectLst/>
        </c:spPr>
      </c:pivotFmt>
    </c:pivotFmts>
    <c:plotArea>
      <c:layout/>
      <c:barChart>
        <c:barDir val="col"/>
        <c:grouping val="clustered"/>
        <c:varyColors val="0"/>
        <c:ser>
          <c:idx val="0"/>
          <c:order val="0"/>
          <c:tx>
            <c:strRef>
              <c:f>Sheet1!$B$3</c:f>
              <c:strCache>
                <c:ptCount val="1"/>
                <c:pt idx="0">
                  <c:v>Total</c:v>
                </c:pt>
              </c:strCache>
            </c:strRef>
          </c:tx>
          <c:spPr>
            <a:solidFill>
              <a:schemeClr val="accent1">
                <a:lumMod val="75000"/>
              </a:schemeClr>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0-0213-4A29-B7C5-98C139D40CEF}"/>
              </c:ext>
            </c:extLst>
          </c:dPt>
          <c:dPt>
            <c:idx val="1"/>
            <c:invertIfNegative val="0"/>
            <c:bubble3D val="0"/>
            <c:spPr>
              <a:solidFill>
                <a:srgbClr val="00B050"/>
              </a:solidFill>
              <a:ln>
                <a:noFill/>
              </a:ln>
              <a:effectLst/>
            </c:spPr>
            <c:extLst>
              <c:ext xmlns:c16="http://schemas.microsoft.com/office/drawing/2014/chart" uri="{C3380CC4-5D6E-409C-BE32-E72D297353CC}">
                <c16:uniqueId val="{00000001-0213-4A29-B7C5-98C139D40CEF}"/>
              </c:ext>
            </c:extLst>
          </c:dPt>
          <c:dPt>
            <c:idx val="2"/>
            <c:invertIfNegative val="0"/>
            <c:bubble3D val="0"/>
            <c:spPr>
              <a:solidFill>
                <a:srgbClr val="FFFF00"/>
              </a:solidFill>
              <a:ln>
                <a:noFill/>
              </a:ln>
              <a:effectLst/>
            </c:spPr>
            <c:extLst>
              <c:ext xmlns:c16="http://schemas.microsoft.com/office/drawing/2014/chart" uri="{C3380CC4-5D6E-409C-BE32-E72D297353CC}">
                <c16:uniqueId val="{00000002-0213-4A29-B7C5-98C139D40C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Sheet1!$A$4:$A$8</c:f>
              <c:strCache>
                <c:ptCount val="4"/>
                <c:pt idx="0">
                  <c:v>East</c:v>
                </c:pt>
                <c:pt idx="1">
                  <c:v>North</c:v>
                </c:pt>
                <c:pt idx="2">
                  <c:v>South</c:v>
                </c:pt>
                <c:pt idx="3">
                  <c:v>West</c:v>
                </c:pt>
              </c:strCache>
            </c:strRef>
          </c:cat>
          <c:val>
            <c:numRef>
              <c:f>Sheet1!$B$4:$B$8</c:f>
              <c:numCache>
                <c:formatCode>General</c:formatCode>
                <c:ptCount val="4"/>
                <c:pt idx="0">
                  <c:v>125000</c:v>
                </c:pt>
                <c:pt idx="1">
                  <c:v>216000</c:v>
                </c:pt>
                <c:pt idx="2">
                  <c:v>92000</c:v>
                </c:pt>
                <c:pt idx="3">
                  <c:v>128000</c:v>
                </c:pt>
              </c:numCache>
            </c:numRef>
          </c:val>
          <c:extLst>
            <c:ext xmlns:c16="http://schemas.microsoft.com/office/drawing/2014/chart" uri="{C3380CC4-5D6E-409C-BE32-E72D297353CC}">
              <c16:uniqueId val="{00000000-D615-45C2-91D1-1164A626C903}"/>
            </c:ext>
          </c:extLst>
        </c:ser>
        <c:dLbls>
          <c:showLegendKey val="0"/>
          <c:showVal val="0"/>
          <c:showCatName val="0"/>
          <c:showSerName val="0"/>
          <c:showPercent val="0"/>
          <c:showBubbleSize val="0"/>
        </c:dLbls>
        <c:gapWidth val="219"/>
        <c:overlap val="-27"/>
        <c:axId val="1210907071"/>
        <c:axId val="1303302975"/>
      </c:barChart>
      <c:catAx>
        <c:axId val="121090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302975"/>
        <c:crosses val="autoZero"/>
        <c:auto val="1"/>
        <c:lblAlgn val="ctr"/>
        <c:lblOffset val="100"/>
        <c:noMultiLvlLbl val="0"/>
      </c:catAx>
      <c:valAx>
        <c:axId val="1303302975"/>
        <c:scaling>
          <c:orientation val="minMax"/>
        </c:scaling>
        <c:delete val="1"/>
        <c:axPos val="l"/>
        <c:numFmt formatCode="General" sourceLinked="1"/>
        <c:majorTickMark val="none"/>
        <c:minorTickMark val="none"/>
        <c:tickLblPos val="nextTo"/>
        <c:crossAx val="121090707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2nd dashbord creation.xlsx]Sheet1!PivotTable3</c:name>
    <c:fmtId val="3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0">
                <a:srgbClr val="FF0000"/>
              </a:gs>
              <a:gs pos="37000">
                <a:srgbClr val="FF0000"/>
              </a:gs>
              <a:gs pos="85000">
                <a:schemeClr val="accent3"/>
              </a:gs>
              <a:gs pos="100000">
                <a:schemeClr val="accent1">
                  <a:lumMod val="30000"/>
                  <a:lumOff val="70000"/>
                </a:schemeClr>
              </a:gs>
            </a:gsLst>
            <a:lin ang="5400000" scaled="1"/>
          </a:gradFill>
          <a:ln>
            <a:noFill/>
          </a:ln>
          <a:effectLst/>
        </c:spPr>
        <c:marker>
          <c:symbol val="none"/>
        </c:marker>
      </c:pivotFmt>
    </c:pivotFmts>
    <c:plotArea>
      <c:layout/>
      <c:barChart>
        <c:barDir val="col"/>
        <c:grouping val="clustered"/>
        <c:varyColors val="0"/>
        <c:ser>
          <c:idx val="0"/>
          <c:order val="0"/>
          <c:tx>
            <c:strRef>
              <c:f>Sheet1!$B$16</c:f>
              <c:strCache>
                <c:ptCount val="1"/>
                <c:pt idx="0">
                  <c:v>Total</c:v>
                </c:pt>
              </c:strCache>
            </c:strRef>
          </c:tx>
          <c:spPr>
            <a:gradFill>
              <a:gsLst>
                <a:gs pos="0">
                  <a:srgbClr val="FF0000"/>
                </a:gs>
                <a:gs pos="37000">
                  <a:srgbClr val="FF0000"/>
                </a:gs>
                <a:gs pos="85000">
                  <a:schemeClr val="accent3"/>
                </a:gs>
                <a:gs pos="100000">
                  <a:schemeClr val="accent1">
                    <a:lumMod val="30000"/>
                    <a:lumOff val="70000"/>
                  </a:schemeClr>
                </a:gs>
              </a:gsLst>
              <a:lin ang="5400000" scaled="1"/>
            </a:gradFill>
            <a:ln>
              <a:noFill/>
            </a:ln>
            <a:effectLst/>
          </c:spPr>
          <c:invertIfNegative val="0"/>
          <c:trendline>
            <c:spPr>
              <a:ln w="19050" cap="rnd">
                <a:solidFill>
                  <a:schemeClr val="accent1"/>
                </a:solidFill>
                <a:prstDash val="sysDot"/>
              </a:ln>
              <a:effectLst/>
            </c:spPr>
            <c:trendlineType val="movingAvg"/>
            <c:period val="2"/>
            <c:dispRSqr val="0"/>
            <c:dispEq val="0"/>
          </c:trendline>
          <c:cat>
            <c:strRef>
              <c:f>Sheet1!$A$17:$A$29</c:f>
              <c:strCache>
                <c:ptCount val="12"/>
                <c:pt idx="0">
                  <c:v>14-02-2024</c:v>
                </c:pt>
                <c:pt idx="1">
                  <c:v>15-03-2024</c:v>
                </c:pt>
                <c:pt idx="2">
                  <c:v>18-02-2024</c:v>
                </c:pt>
                <c:pt idx="3">
                  <c:v>20-03-2024</c:v>
                </c:pt>
                <c:pt idx="4">
                  <c:v>22-02-2024</c:v>
                </c:pt>
                <c:pt idx="5">
                  <c:v>1/1/2024</c:v>
                </c:pt>
                <c:pt idx="6">
                  <c:v>3/1/2024</c:v>
                </c:pt>
                <c:pt idx="7">
                  <c:v>5/1/2024</c:v>
                </c:pt>
                <c:pt idx="8">
                  <c:v>5/3/2024</c:v>
                </c:pt>
                <c:pt idx="9">
                  <c:v>8/1/2024</c:v>
                </c:pt>
                <c:pt idx="10">
                  <c:v>10/3/2024</c:v>
                </c:pt>
                <c:pt idx="11">
                  <c:v>12/2/2024</c:v>
                </c:pt>
              </c:strCache>
            </c:strRef>
          </c:cat>
          <c:val>
            <c:numRef>
              <c:f>Sheet1!$B$17:$B$29</c:f>
              <c:numCache>
                <c:formatCode>General</c:formatCode>
                <c:ptCount val="12"/>
                <c:pt idx="0">
                  <c:v>80000</c:v>
                </c:pt>
                <c:pt idx="1">
                  <c:v>20000</c:v>
                </c:pt>
                <c:pt idx="2">
                  <c:v>18000</c:v>
                </c:pt>
                <c:pt idx="3">
                  <c:v>30000</c:v>
                </c:pt>
                <c:pt idx="4">
                  <c:v>50000</c:v>
                </c:pt>
                <c:pt idx="5">
                  <c:v>90000</c:v>
                </c:pt>
                <c:pt idx="6">
                  <c:v>15000</c:v>
                </c:pt>
                <c:pt idx="7">
                  <c:v>90000</c:v>
                </c:pt>
                <c:pt idx="8">
                  <c:v>102000</c:v>
                </c:pt>
                <c:pt idx="9">
                  <c:v>12000</c:v>
                </c:pt>
                <c:pt idx="10">
                  <c:v>30000</c:v>
                </c:pt>
                <c:pt idx="11">
                  <c:v>24000</c:v>
                </c:pt>
              </c:numCache>
            </c:numRef>
          </c:val>
          <c:extLst>
            <c:ext xmlns:c16="http://schemas.microsoft.com/office/drawing/2014/chart" uri="{C3380CC4-5D6E-409C-BE32-E72D297353CC}">
              <c16:uniqueId val="{00000000-CCC7-4AB4-A3D2-EB47CCA5103B}"/>
            </c:ext>
          </c:extLst>
        </c:ser>
        <c:dLbls>
          <c:showLegendKey val="0"/>
          <c:showVal val="0"/>
          <c:showCatName val="0"/>
          <c:showSerName val="0"/>
          <c:showPercent val="0"/>
          <c:showBubbleSize val="0"/>
        </c:dLbls>
        <c:gapWidth val="219"/>
        <c:overlap val="-27"/>
        <c:axId val="1376363167"/>
        <c:axId val="1310845135"/>
      </c:barChart>
      <c:catAx>
        <c:axId val="137636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10845135"/>
        <c:crosses val="autoZero"/>
        <c:auto val="1"/>
        <c:lblAlgn val="ctr"/>
        <c:lblOffset val="100"/>
        <c:noMultiLvlLbl val="0"/>
      </c:catAx>
      <c:valAx>
        <c:axId val="1310845135"/>
        <c:scaling>
          <c:orientation val="minMax"/>
        </c:scaling>
        <c:delete val="1"/>
        <c:axPos val="l"/>
        <c:numFmt formatCode="General" sourceLinked="1"/>
        <c:majorTickMark val="none"/>
        <c:minorTickMark val="none"/>
        <c:tickLblPos val="nextTo"/>
        <c:crossAx val="137636316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2nd dashbord creation.xlsx]Sheet1!PivotTable7</c:name>
    <c:fmtId val="4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rgbClr val="00B050"/>
          </a:solidFill>
          <a:ln>
            <a:noFill/>
          </a:ln>
          <a:effectLst/>
        </c:spPr>
      </c:pivotFmt>
      <c:pivotFmt>
        <c:idx val="5"/>
        <c:spPr>
          <a:solidFill>
            <a:srgbClr val="00B050"/>
          </a:solidFill>
          <a:ln>
            <a:noFill/>
          </a:ln>
          <a:effectLst/>
        </c:spPr>
      </c:pivotFmt>
    </c:pivotFmts>
    <c:plotArea>
      <c:layout/>
      <c:barChart>
        <c:barDir val="col"/>
        <c:grouping val="clustered"/>
        <c:varyColors val="0"/>
        <c:ser>
          <c:idx val="0"/>
          <c:order val="0"/>
          <c:tx>
            <c:strRef>
              <c:f>Sheet1!$B$41</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Sheet1!$A$42:$A$52</c:f>
              <c:strCache>
                <c:ptCount val="10"/>
                <c:pt idx="0">
                  <c:v>Chair</c:v>
                </c:pt>
                <c:pt idx="1">
                  <c:v>Headphones</c:v>
                </c:pt>
                <c:pt idx="2">
                  <c:v>Laptop</c:v>
                </c:pt>
                <c:pt idx="3">
                  <c:v>Mobile</c:v>
                </c:pt>
                <c:pt idx="4">
                  <c:v>Monitor</c:v>
                </c:pt>
                <c:pt idx="5">
                  <c:v>Printer</c:v>
                </c:pt>
                <c:pt idx="6">
                  <c:v>Scanner</c:v>
                </c:pt>
                <c:pt idx="7">
                  <c:v>Sofa</c:v>
                </c:pt>
                <c:pt idx="8">
                  <c:v>Table</c:v>
                </c:pt>
                <c:pt idx="9">
                  <c:v>Tablet</c:v>
                </c:pt>
              </c:strCache>
            </c:strRef>
          </c:cat>
          <c:val>
            <c:numRef>
              <c:f>Sheet1!$B$42:$B$52</c:f>
              <c:numCache>
                <c:formatCode>General</c:formatCode>
                <c:ptCount val="10"/>
                <c:pt idx="0">
                  <c:v>15000</c:v>
                </c:pt>
                <c:pt idx="1">
                  <c:v>20000</c:v>
                </c:pt>
                <c:pt idx="2">
                  <c:v>140000</c:v>
                </c:pt>
                <c:pt idx="3">
                  <c:v>192000</c:v>
                </c:pt>
                <c:pt idx="4">
                  <c:v>30000</c:v>
                </c:pt>
                <c:pt idx="5">
                  <c:v>12000</c:v>
                </c:pt>
                <c:pt idx="6">
                  <c:v>18000</c:v>
                </c:pt>
                <c:pt idx="7">
                  <c:v>30000</c:v>
                </c:pt>
                <c:pt idx="8">
                  <c:v>24000</c:v>
                </c:pt>
                <c:pt idx="9">
                  <c:v>80000</c:v>
                </c:pt>
              </c:numCache>
            </c:numRef>
          </c:val>
          <c:extLst>
            <c:ext xmlns:c16="http://schemas.microsoft.com/office/drawing/2014/chart" uri="{C3380CC4-5D6E-409C-BE32-E72D297353CC}">
              <c16:uniqueId val="{00000000-CDBA-4D19-884B-D92DB62CC5DA}"/>
            </c:ext>
          </c:extLst>
        </c:ser>
        <c:dLbls>
          <c:showLegendKey val="0"/>
          <c:showVal val="0"/>
          <c:showCatName val="0"/>
          <c:showSerName val="0"/>
          <c:showPercent val="0"/>
          <c:showBubbleSize val="0"/>
        </c:dLbls>
        <c:gapWidth val="219"/>
        <c:overlap val="-27"/>
        <c:axId val="1376349567"/>
        <c:axId val="1306072511"/>
      </c:barChart>
      <c:catAx>
        <c:axId val="137634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06072511"/>
        <c:crosses val="autoZero"/>
        <c:auto val="1"/>
        <c:lblAlgn val="ctr"/>
        <c:lblOffset val="100"/>
        <c:noMultiLvlLbl val="0"/>
      </c:catAx>
      <c:valAx>
        <c:axId val="1306072511"/>
        <c:scaling>
          <c:orientation val="minMax"/>
        </c:scaling>
        <c:delete val="1"/>
        <c:axPos val="l"/>
        <c:numFmt formatCode="General" sourceLinked="1"/>
        <c:majorTickMark val="none"/>
        <c:minorTickMark val="none"/>
        <c:tickLblPos val="nextTo"/>
        <c:crossAx val="1376349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2nd dashbord creation.xlsx]Sheet1!PivotTable2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solidFill>
          <a:schemeClr val="bg1"/>
        </a:solidFill>
        <a:ln>
          <a:noFill/>
        </a:ln>
        <a:effectLst/>
      </c:sp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marker>
          <c:symbol val="none"/>
        </c:marker>
      </c:pivotFmt>
      <c:pivotFmt>
        <c:idx val="18"/>
        <c:spPr>
          <a:solidFill>
            <a:schemeClr val="accent1"/>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3"/>
          </a:solidFill>
          <a:ln w="19050">
            <a:solidFill>
              <a:schemeClr val="lt1"/>
            </a:solidFill>
          </a:ln>
          <a:effectLst/>
        </c:spPr>
      </c:pivotFmt>
    </c:pivotFmts>
    <c:plotArea>
      <c:layout/>
      <c:doughnutChart>
        <c:varyColors val="1"/>
        <c:ser>
          <c:idx val="0"/>
          <c:order val="0"/>
          <c:tx>
            <c:strRef>
              <c:f>Sheet1!$B$10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7C1C-4EE7-9ED9-2EA725B8B7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7C1C-4EE7-9ED9-2EA725B8B7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7C1C-4EE7-9ED9-2EA725B8B77D}"/>
              </c:ext>
            </c:extLst>
          </c:dPt>
          <c:cat>
            <c:strRef>
              <c:f>Sheet1!$A$11:$A$14</c:f>
              <c:strCache>
                <c:ptCount val="3"/>
                <c:pt idx="0">
                  <c:v>Jan</c:v>
                </c:pt>
                <c:pt idx="1">
                  <c:v>Feb</c:v>
                </c:pt>
                <c:pt idx="2">
                  <c:v>Mar</c:v>
                </c:pt>
              </c:strCache>
            </c:strRef>
          </c:cat>
          <c:val>
            <c:numRef>
              <c:f>Sheet1!$B$11:$B$14</c:f>
              <c:numCache>
                <c:formatCode>General</c:formatCode>
                <c:ptCount val="3"/>
                <c:pt idx="0">
                  <c:v>207000</c:v>
                </c:pt>
                <c:pt idx="1">
                  <c:v>172000</c:v>
                </c:pt>
                <c:pt idx="2">
                  <c:v>182000</c:v>
                </c:pt>
              </c:numCache>
            </c:numRef>
          </c:val>
          <c:extLst>
            <c:ext xmlns:c16="http://schemas.microsoft.com/office/drawing/2014/chart" uri="{C3380CC4-5D6E-409C-BE32-E72D297353CC}">
              <c16:uniqueId val="{00000015-7C1C-4EE7-9ED9-2EA725B8B77D}"/>
            </c:ext>
          </c:extLst>
        </c:ser>
        <c:dLbls>
          <c:showLegendKey val="0"/>
          <c:showVal val="0"/>
          <c:showCatName val="0"/>
          <c:showSerName val="0"/>
          <c:showPercent val="0"/>
          <c:showBubbleSize val="0"/>
          <c:showLeaderLines val="1"/>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gradFill>
      <a:gsLst>
        <a:gs pos="0">
          <a:schemeClr val="accent4"/>
        </a:gs>
        <a:gs pos="46000">
          <a:schemeClr val="tx2">
            <a:lumMod val="50000"/>
            <a:lumOff val="50000"/>
          </a:schemeClr>
        </a:gs>
        <a:gs pos="100000">
          <a:srgbClr val="FF0000"/>
        </a:gs>
      </a:gsLst>
      <a:lin ang="2700000" scaled="1"/>
    </a:gradFill>
    <a:ln w="9525" cap="flat" cmpd="sng" algn="ctr">
      <a:noFill/>
      <a:round/>
    </a:ln>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2nd dashbord creation.xlsx]Sheet1!PivotTable4</c:name>
    <c:fmtId val="92"/>
  </c:pivotSource>
  <c:chart>
    <c:title>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Sheet1!$B$56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Sheet1!$A$57:$A$68</c:f>
              <c:multiLvlStrCache>
                <c:ptCount val="8"/>
                <c:lvl>
                  <c:pt idx="0">
                    <c:v>Amit</c:v>
                  </c:pt>
                  <c:pt idx="1">
                    <c:v>Kiran</c:v>
                  </c:pt>
                  <c:pt idx="2">
                    <c:v>Neha</c:v>
                  </c:pt>
                  <c:pt idx="3">
                    <c:v>Rahul</c:v>
                  </c:pt>
                  <c:pt idx="4">
                    <c:v>Amit</c:v>
                  </c:pt>
                  <c:pt idx="5">
                    <c:v>Rahul</c:v>
                  </c:pt>
                  <c:pt idx="6">
                    <c:v>Kiran</c:v>
                  </c:pt>
                  <c:pt idx="7">
                    <c:v>Neha</c:v>
                  </c:pt>
                </c:lvl>
                <c:lvl>
                  <c:pt idx="0">
                    <c:v>Electronics</c:v>
                  </c:pt>
                  <c:pt idx="4">
                    <c:v>Furniture</c:v>
                  </c:pt>
                  <c:pt idx="6">
                    <c:v>Office Supplies</c:v>
                  </c:pt>
                </c:lvl>
              </c:multiLvlStrCache>
            </c:multiLvlStrRef>
          </c:cat>
          <c:val>
            <c:numRef>
              <c:f>Sheet1!$B$57:$B$68</c:f>
              <c:numCache>
                <c:formatCode>General</c:formatCode>
                <c:ptCount val="8"/>
                <c:pt idx="0">
                  <c:v>80000</c:v>
                </c:pt>
                <c:pt idx="1">
                  <c:v>50000</c:v>
                </c:pt>
                <c:pt idx="2">
                  <c:v>110000</c:v>
                </c:pt>
                <c:pt idx="3">
                  <c:v>192000</c:v>
                </c:pt>
                <c:pt idx="4">
                  <c:v>45000</c:v>
                </c:pt>
                <c:pt idx="5">
                  <c:v>24000</c:v>
                </c:pt>
                <c:pt idx="6">
                  <c:v>42000</c:v>
                </c:pt>
                <c:pt idx="7">
                  <c:v>18000</c:v>
                </c:pt>
              </c:numCache>
            </c:numRef>
          </c:val>
          <c:smooth val="0"/>
          <c:extLst>
            <c:ext xmlns:c16="http://schemas.microsoft.com/office/drawing/2014/chart" uri="{C3380CC4-5D6E-409C-BE32-E72D297353CC}">
              <c16:uniqueId val="{00000000-BA87-4E81-82E5-E20D595790BF}"/>
            </c:ext>
          </c:extLst>
        </c:ser>
        <c:dLbls>
          <c:showLegendKey val="0"/>
          <c:showVal val="0"/>
          <c:showCatName val="0"/>
          <c:showSerName val="0"/>
          <c:showPercent val="0"/>
          <c:showBubbleSize val="0"/>
        </c:dLbls>
        <c:marker val="1"/>
        <c:smooth val="0"/>
        <c:axId val="834021040"/>
        <c:axId val="942877664"/>
      </c:lineChart>
      <c:catAx>
        <c:axId val="83402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942877664"/>
        <c:crosses val="autoZero"/>
        <c:auto val="1"/>
        <c:lblAlgn val="ctr"/>
        <c:lblOffset val="100"/>
        <c:noMultiLvlLbl val="0"/>
      </c:catAx>
      <c:valAx>
        <c:axId val="94287766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34021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5.xml"/><Relationship Id="rId3" Type="http://schemas.openxmlformats.org/officeDocument/2006/relationships/image" Target="../media/image2.png"/><Relationship Id="rId7" Type="http://schemas.openxmlformats.org/officeDocument/2006/relationships/image" Target="../media/image5.svg"/><Relationship Id="rId12" Type="http://schemas.openxmlformats.org/officeDocument/2006/relationships/chart" Target="../charts/chart4.xml"/><Relationship Id="rId2" Type="http://schemas.openxmlformats.org/officeDocument/2006/relationships/hyperlink" Target="https://www.publicdomainpictures.net/en/view-image.php?image=236607&amp;picture=gradient-blue-background" TargetMode="External"/><Relationship Id="rId1" Type="http://schemas.openxmlformats.org/officeDocument/2006/relationships/image" Target="../media/image1.jpg"/><Relationship Id="rId6" Type="http://schemas.openxmlformats.org/officeDocument/2006/relationships/image" Target="../media/image4.png"/><Relationship Id="rId11" Type="http://schemas.openxmlformats.org/officeDocument/2006/relationships/chart" Target="../charts/chart3.xml"/><Relationship Id="rId5" Type="http://schemas.openxmlformats.org/officeDocument/2006/relationships/chart" Target="../charts/chart1.xml"/><Relationship Id="rId10" Type="http://schemas.openxmlformats.org/officeDocument/2006/relationships/chart" Target="../charts/chart2.xml"/><Relationship Id="rId4" Type="http://schemas.openxmlformats.org/officeDocument/2006/relationships/image" Target="../media/image3.svg"/><Relationship Id="rId9" Type="http://schemas.openxmlformats.org/officeDocument/2006/relationships/image" Target="../media/image7.svg"/><Relationship Id="rId14"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6</xdr:col>
      <xdr:colOff>476250</xdr:colOff>
      <xdr:row>40</xdr:row>
      <xdr:rowOff>57150</xdr:rowOff>
    </xdr:from>
    <xdr:to>
      <xdr:col>9</xdr:col>
      <xdr:colOff>247650</xdr:colOff>
      <xdr:row>54</xdr:row>
      <xdr:rowOff>47625</xdr:rowOff>
    </xdr:to>
    <mc:AlternateContent xmlns:mc="http://schemas.openxmlformats.org/markup-compatibility/2006" xmlns:a14="http://schemas.microsoft.com/office/drawing/2010/main">
      <mc:Choice Requires="a14">
        <xdr:graphicFrame macro="">
          <xdr:nvGraphicFramePr>
            <xdr:cNvPr id="10" name="Product Name">
              <a:extLst>
                <a:ext uri="{FF2B5EF4-FFF2-40B4-BE49-F238E27FC236}">
                  <a16:creationId xmlns:a16="http://schemas.microsoft.com/office/drawing/2014/main" id="{33889A57-11C0-4F38-850D-CB67CA67AFC2}"/>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5486400" y="7677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9524</xdr:rowOff>
    </xdr:from>
    <xdr:to>
      <xdr:col>18</xdr:col>
      <xdr:colOff>609600</xdr:colOff>
      <xdr:row>36</xdr:row>
      <xdr:rowOff>19639</xdr:rowOff>
    </xdr:to>
    <xdr:sp macro="" textlink="">
      <xdr:nvSpPr>
        <xdr:cNvPr id="2" name="Rectangle: Rounded Corners 1">
          <a:extLst>
            <a:ext uri="{FF2B5EF4-FFF2-40B4-BE49-F238E27FC236}">
              <a16:creationId xmlns:a16="http://schemas.microsoft.com/office/drawing/2014/main" id="{808852C2-4928-4C68-B295-E69279B7236F}"/>
            </a:ext>
          </a:extLst>
        </xdr:cNvPr>
        <xdr:cNvSpPr/>
      </xdr:nvSpPr>
      <xdr:spPr>
        <a:xfrm>
          <a:off x="19050" y="9524"/>
          <a:ext cx="12963230" cy="6373208"/>
        </a:xfrm>
        <a:prstGeom prst="roundRect">
          <a:avLst>
            <a:gd name="adj" fmla="val 2553"/>
          </a:avLst>
        </a:prstGeom>
        <a:gradFill>
          <a:gsLst>
            <a:gs pos="0">
              <a:srgbClr val="FF0000"/>
            </a:gs>
            <a:gs pos="27000">
              <a:srgbClr val="FFFF00"/>
            </a:gs>
            <a:gs pos="50000">
              <a:schemeClr val="accent4"/>
            </a:gs>
          </a:gsLst>
          <a:lin ang="2700000" scaled="1"/>
        </a:gradFill>
        <a:effectLst>
          <a:innerShdw blurRad="63500" dist="50800" dir="10800000">
            <a:prstClr val="black">
              <a:alpha val="50000"/>
            </a:prstClr>
          </a:innerShdw>
          <a:softEdge rad="12700"/>
        </a:effectLst>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600"/>
        </a:p>
      </xdr:txBody>
    </xdr:sp>
    <xdr:clientData/>
  </xdr:twoCellAnchor>
  <xdr:twoCellAnchor>
    <xdr:from>
      <xdr:col>0</xdr:col>
      <xdr:colOff>190500</xdr:colOff>
      <xdr:row>0</xdr:row>
      <xdr:rowOff>38102</xdr:rowOff>
    </xdr:from>
    <xdr:to>
      <xdr:col>18</xdr:col>
      <xdr:colOff>561976</xdr:colOff>
      <xdr:row>35</xdr:row>
      <xdr:rowOff>157114</xdr:rowOff>
    </xdr:to>
    <xdr:sp macro="" textlink="">
      <xdr:nvSpPr>
        <xdr:cNvPr id="3" name="Rectangle: Rounded Corners 2">
          <a:extLst>
            <a:ext uri="{FF2B5EF4-FFF2-40B4-BE49-F238E27FC236}">
              <a16:creationId xmlns:a16="http://schemas.microsoft.com/office/drawing/2014/main" id="{F351DC83-E3AF-44B4-89F9-B5B886D3FCB1}"/>
            </a:ext>
          </a:extLst>
        </xdr:cNvPr>
        <xdr:cNvSpPr/>
      </xdr:nvSpPr>
      <xdr:spPr>
        <a:xfrm>
          <a:off x="190500" y="38102"/>
          <a:ext cx="12744156" cy="6305352"/>
        </a:xfrm>
        <a:prstGeom prst="roundRect">
          <a:avLst>
            <a:gd name="adj" fmla="val 5263"/>
          </a:avLst>
        </a:prstGeom>
        <a:blipFill>
          <a:blip xmlns:r="http://schemas.openxmlformats.org/officeDocument/2006/relationships" r:embed="rId1">
            <a:extLst>
              <a:ext uri="{837473B0-CC2E-450A-ABE3-18F120FF3D39}">
                <a1611:picAttrSrcUrl xmlns:a1611="http://schemas.microsoft.com/office/drawing/2016/11/main" r:id="rId2"/>
              </a:ext>
            </a:extLst>
          </a:blip>
          <a:stretch>
            <a:fillRect/>
          </a:stretch>
        </a:blipFill>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baseline="0">
            <a:solidFill>
              <a:srgbClr val="FFFFFF"/>
            </a:solidFill>
          </a:endParaRPr>
        </a:p>
      </xdr:txBody>
    </xdr:sp>
    <xdr:clientData/>
  </xdr:twoCellAnchor>
  <xdr:twoCellAnchor>
    <xdr:from>
      <xdr:col>0</xdr:col>
      <xdr:colOff>219075</xdr:colOff>
      <xdr:row>4</xdr:row>
      <xdr:rowOff>142876</xdr:rowOff>
    </xdr:from>
    <xdr:to>
      <xdr:col>18</xdr:col>
      <xdr:colOff>600075</xdr:colOff>
      <xdr:row>6</xdr:row>
      <xdr:rowOff>114300</xdr:rowOff>
    </xdr:to>
    <xdr:sp macro="" textlink="">
      <xdr:nvSpPr>
        <xdr:cNvPr id="11" name="Rectangle: Rounded Corners 10">
          <a:extLst>
            <a:ext uri="{FF2B5EF4-FFF2-40B4-BE49-F238E27FC236}">
              <a16:creationId xmlns:a16="http://schemas.microsoft.com/office/drawing/2014/main" id="{9CE30F6B-F000-41FB-BBF8-3A0CDBDA71C1}"/>
            </a:ext>
          </a:extLst>
        </xdr:cNvPr>
        <xdr:cNvSpPr/>
      </xdr:nvSpPr>
      <xdr:spPr>
        <a:xfrm>
          <a:off x="219075" y="866776"/>
          <a:ext cx="12725400" cy="333374"/>
        </a:xfrm>
        <a:prstGeom prst="roundRect">
          <a:avLst/>
        </a:prstGeom>
        <a:gradFill>
          <a:gsLst>
            <a:gs pos="0">
              <a:srgbClr val="FF0000"/>
            </a:gs>
            <a:gs pos="46000">
              <a:schemeClr val="tx2">
                <a:lumMod val="50000"/>
                <a:lumOff val="50000"/>
              </a:schemeClr>
            </a:gs>
            <a:gs pos="100000">
              <a:srgbClr val="FF0000"/>
            </a:gs>
          </a:gsLst>
          <a:lin ang="0" scaled="1"/>
        </a:gradFill>
        <a:effectLst>
          <a:innerShdw blurRad="63500" dist="50800" dir="54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600">
              <a:latin typeface="Cooper Black" panose="0208090404030B020404" pitchFamily="18" charset="0"/>
            </a:rPr>
            <a:t>SALSES DASHBORD</a:t>
          </a:r>
          <a:endParaRPr lang="en-US" sz="1100">
            <a:latin typeface="Cooper Black" panose="0208090404030B020404" pitchFamily="18" charset="0"/>
          </a:endParaRPr>
        </a:p>
      </xdr:txBody>
    </xdr:sp>
    <xdr:clientData/>
  </xdr:twoCellAnchor>
  <xdr:twoCellAnchor editAs="oneCell">
    <xdr:from>
      <xdr:col>7</xdr:col>
      <xdr:colOff>200025</xdr:colOff>
      <xdr:row>4</xdr:row>
      <xdr:rowOff>161925</xdr:rowOff>
    </xdr:from>
    <xdr:to>
      <xdr:col>7</xdr:col>
      <xdr:colOff>552450</xdr:colOff>
      <xdr:row>6</xdr:row>
      <xdr:rowOff>155761</xdr:rowOff>
    </xdr:to>
    <xdr:pic>
      <xdr:nvPicPr>
        <xdr:cNvPr id="13" name="Graphic 12" descr="Bar chart">
          <a:extLst>
            <a:ext uri="{FF2B5EF4-FFF2-40B4-BE49-F238E27FC236}">
              <a16:creationId xmlns:a16="http://schemas.microsoft.com/office/drawing/2014/main" id="{BDDE7857-8CCD-4333-AD3C-BE716786937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467225" y="923925"/>
          <a:ext cx="352425" cy="352425"/>
        </a:xfrm>
        <a:prstGeom prst="rect">
          <a:avLst/>
        </a:prstGeom>
      </xdr:spPr>
    </xdr:pic>
    <xdr:clientData/>
  </xdr:twoCellAnchor>
  <xdr:twoCellAnchor>
    <xdr:from>
      <xdr:col>10</xdr:col>
      <xdr:colOff>533400</xdr:colOff>
      <xdr:row>7</xdr:row>
      <xdr:rowOff>57150</xdr:rowOff>
    </xdr:from>
    <xdr:to>
      <xdr:col>15</xdr:col>
      <xdr:colOff>342900</xdr:colOff>
      <xdr:row>17</xdr:row>
      <xdr:rowOff>171450</xdr:rowOff>
    </xdr:to>
    <xdr:sp macro="" textlink="">
      <xdr:nvSpPr>
        <xdr:cNvPr id="14" name="Rectangle: Rounded Corners 13">
          <a:extLst>
            <a:ext uri="{FF2B5EF4-FFF2-40B4-BE49-F238E27FC236}">
              <a16:creationId xmlns:a16="http://schemas.microsoft.com/office/drawing/2014/main" id="{057731A5-435F-4E49-9227-568876030137}"/>
            </a:ext>
          </a:extLst>
        </xdr:cNvPr>
        <xdr:cNvSpPr/>
      </xdr:nvSpPr>
      <xdr:spPr>
        <a:xfrm>
          <a:off x="7391400" y="1323975"/>
          <a:ext cx="3238500" cy="1924050"/>
        </a:xfrm>
        <a:prstGeom prst="roundRect">
          <a:avLst/>
        </a:prstGeom>
        <a:gradFill>
          <a:gsLst>
            <a:gs pos="0">
              <a:schemeClr val="accent4"/>
            </a:gs>
            <a:gs pos="46000">
              <a:schemeClr val="tx2">
                <a:lumMod val="50000"/>
                <a:lumOff val="50000"/>
              </a:schemeClr>
            </a:gs>
            <a:gs pos="100000">
              <a:srgbClr val="FF0000"/>
            </a:gs>
          </a:gsLst>
          <a:lin ang="2700000" scaled="1"/>
        </a:gradFill>
        <a:ln>
          <a:no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cap="none" spc="0">
              <a:ln>
                <a:noFill/>
              </a:ln>
              <a:solidFill>
                <a:srgbClr val="FFFF00"/>
              </a:solidFill>
              <a:effectLst/>
              <a:latin typeface="Cooper Black" panose="0208090404030B020404" pitchFamily="18" charset="0"/>
            </a:rPr>
            <a:t>REGION SALE</a:t>
          </a:r>
        </a:p>
      </xdr:txBody>
    </xdr:sp>
    <xdr:clientData/>
  </xdr:twoCellAnchor>
  <xdr:twoCellAnchor>
    <xdr:from>
      <xdr:col>10</xdr:col>
      <xdr:colOff>323850</xdr:colOff>
      <xdr:row>18</xdr:row>
      <xdr:rowOff>95250</xdr:rowOff>
    </xdr:from>
    <xdr:to>
      <xdr:col>15</xdr:col>
      <xdr:colOff>609600</xdr:colOff>
      <xdr:row>35</xdr:row>
      <xdr:rowOff>29459</xdr:rowOff>
    </xdr:to>
    <xdr:sp macro="" textlink="">
      <xdr:nvSpPr>
        <xdr:cNvPr id="16" name="Rectangle: Rounded Corners 15">
          <a:extLst>
            <a:ext uri="{FF2B5EF4-FFF2-40B4-BE49-F238E27FC236}">
              <a16:creationId xmlns:a16="http://schemas.microsoft.com/office/drawing/2014/main" id="{BC889C60-54C2-4E8C-99F7-711F8720D731}"/>
            </a:ext>
          </a:extLst>
        </xdr:cNvPr>
        <xdr:cNvSpPr/>
      </xdr:nvSpPr>
      <xdr:spPr>
        <a:xfrm>
          <a:off x="7197561" y="3276796"/>
          <a:ext cx="3722606" cy="2939003"/>
        </a:xfrm>
        <a:prstGeom prst="roundRect">
          <a:avLst/>
        </a:prstGeom>
        <a:gradFill>
          <a:gsLst>
            <a:gs pos="0">
              <a:schemeClr val="accent4"/>
            </a:gs>
            <a:gs pos="46000">
              <a:schemeClr val="tx2">
                <a:lumMod val="50000"/>
                <a:lumOff val="50000"/>
              </a:schemeClr>
            </a:gs>
            <a:gs pos="100000">
              <a:srgbClr val="FF0000"/>
            </a:gs>
          </a:gsLst>
          <a:lin ang="2700000" scaled="1"/>
        </a:gra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rgbClr val="FFFF00"/>
              </a:solidFill>
              <a:latin typeface="Cooper Black" panose="0208090404030B020404" pitchFamily="18" charset="0"/>
            </a:rPr>
            <a:t>DATE SALES</a:t>
          </a:r>
        </a:p>
      </xdr:txBody>
    </xdr:sp>
    <xdr:clientData/>
  </xdr:twoCellAnchor>
  <xdr:twoCellAnchor>
    <xdr:from>
      <xdr:col>10</xdr:col>
      <xdr:colOff>676276</xdr:colOff>
      <xdr:row>9</xdr:row>
      <xdr:rowOff>22412</xdr:rowOff>
    </xdr:from>
    <xdr:to>
      <xdr:col>15</xdr:col>
      <xdr:colOff>180976</xdr:colOff>
      <xdr:row>17</xdr:row>
      <xdr:rowOff>39278</xdr:rowOff>
    </xdr:to>
    <xdr:graphicFrame macro="">
      <xdr:nvGraphicFramePr>
        <xdr:cNvPr id="8" name="Chart 7">
          <a:extLst>
            <a:ext uri="{FF2B5EF4-FFF2-40B4-BE49-F238E27FC236}">
              <a16:creationId xmlns:a16="http://schemas.microsoft.com/office/drawing/2014/main" id="{6A99B556-B000-498D-A9B5-25CDF43B1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409575</xdr:colOff>
      <xdr:row>7</xdr:row>
      <xdr:rowOff>95250</xdr:rowOff>
    </xdr:from>
    <xdr:to>
      <xdr:col>5</xdr:col>
      <xdr:colOff>9525</xdr:colOff>
      <xdr:row>11</xdr:row>
      <xdr:rowOff>0</xdr:rowOff>
    </xdr:to>
    <xdr:sp macro="" textlink="">
      <xdr:nvSpPr>
        <xdr:cNvPr id="18" name="Rectangle: Rounded Corners 17">
          <a:extLst>
            <a:ext uri="{FF2B5EF4-FFF2-40B4-BE49-F238E27FC236}">
              <a16:creationId xmlns:a16="http://schemas.microsoft.com/office/drawing/2014/main" id="{72261632-8514-45CE-A4B6-0177155458E1}"/>
            </a:ext>
          </a:extLst>
        </xdr:cNvPr>
        <xdr:cNvSpPr/>
      </xdr:nvSpPr>
      <xdr:spPr>
        <a:xfrm>
          <a:off x="1781175" y="1362075"/>
          <a:ext cx="1657350" cy="628650"/>
        </a:xfrm>
        <a:prstGeom prst="roundRect">
          <a:avLst/>
        </a:prstGeom>
        <a:solidFill>
          <a:srgbClr val="FF000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485775</xdr:colOff>
      <xdr:row>7</xdr:row>
      <xdr:rowOff>104775</xdr:rowOff>
    </xdr:from>
    <xdr:to>
      <xdr:col>4</xdr:col>
      <xdr:colOff>676275</xdr:colOff>
      <xdr:row>10</xdr:row>
      <xdr:rowOff>142875</xdr:rowOff>
    </xdr:to>
    <xdr:sp macro="" textlink="">
      <xdr:nvSpPr>
        <xdr:cNvPr id="19" name="Rectangle: Rounded Corners 18">
          <a:extLst>
            <a:ext uri="{FF2B5EF4-FFF2-40B4-BE49-F238E27FC236}">
              <a16:creationId xmlns:a16="http://schemas.microsoft.com/office/drawing/2014/main" id="{53BEC10E-F51D-4811-BB4B-88359D22CC1A}"/>
            </a:ext>
          </a:extLst>
        </xdr:cNvPr>
        <xdr:cNvSpPr/>
      </xdr:nvSpPr>
      <xdr:spPr>
        <a:xfrm>
          <a:off x="1857375" y="1371600"/>
          <a:ext cx="1562100" cy="581025"/>
        </a:xfrm>
        <a:prstGeom prst="roundRect">
          <a:avLst/>
        </a:prstGeom>
        <a:solidFill>
          <a:srgbClr val="FFFF00"/>
        </a:solidFill>
        <a:ln>
          <a:noFill/>
        </a:ln>
        <a:effectLst>
          <a:innerShdw blurRad="63500" dist="50800" dir="54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050">
              <a:solidFill>
                <a:sysClr val="windowText" lastClr="000000"/>
              </a:solidFill>
              <a:latin typeface="Copperplate Gothic Bold" panose="020E0705020206020404" pitchFamily="34" charset="0"/>
            </a:rPr>
            <a:t>Total Sale</a:t>
          </a:r>
          <a:endParaRPr lang="en-US" sz="1100">
            <a:solidFill>
              <a:sysClr val="windowText" lastClr="000000"/>
            </a:solidFill>
            <a:latin typeface="Copperplate Gothic Bold" panose="020E0705020206020404" pitchFamily="34" charset="0"/>
          </a:endParaRPr>
        </a:p>
      </xdr:txBody>
    </xdr:sp>
    <xdr:clientData/>
  </xdr:twoCellAnchor>
  <xdr:twoCellAnchor editAs="oneCell">
    <xdr:from>
      <xdr:col>2</xdr:col>
      <xdr:colOff>504825</xdr:colOff>
      <xdr:row>8</xdr:row>
      <xdr:rowOff>0</xdr:rowOff>
    </xdr:from>
    <xdr:to>
      <xdr:col>3</xdr:col>
      <xdr:colOff>178735</xdr:colOff>
      <xdr:row>10</xdr:row>
      <xdr:rowOff>3362</xdr:rowOff>
    </xdr:to>
    <xdr:pic>
      <xdr:nvPicPr>
        <xdr:cNvPr id="21" name="Graphic 20" descr="Rupee">
          <a:extLst>
            <a:ext uri="{FF2B5EF4-FFF2-40B4-BE49-F238E27FC236}">
              <a16:creationId xmlns:a16="http://schemas.microsoft.com/office/drawing/2014/main" id="{0C19CD59-07A7-42F9-8A95-393DCDE6713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724025" y="1524000"/>
          <a:ext cx="361950" cy="361950"/>
        </a:xfrm>
        <a:prstGeom prst="rect">
          <a:avLst/>
        </a:prstGeom>
      </xdr:spPr>
    </xdr:pic>
    <xdr:clientData/>
  </xdr:twoCellAnchor>
  <xdr:twoCellAnchor>
    <xdr:from>
      <xdr:col>5</xdr:col>
      <xdr:colOff>409575</xdr:colOff>
      <xdr:row>7</xdr:row>
      <xdr:rowOff>133350</xdr:rowOff>
    </xdr:from>
    <xdr:to>
      <xdr:col>8</xdr:col>
      <xdr:colOff>28575</xdr:colOff>
      <xdr:row>11</xdr:row>
      <xdr:rowOff>28575</xdr:rowOff>
    </xdr:to>
    <xdr:sp macro="" textlink="">
      <xdr:nvSpPr>
        <xdr:cNvPr id="25" name="Rectangle: Rounded Corners 24">
          <a:extLst>
            <a:ext uri="{FF2B5EF4-FFF2-40B4-BE49-F238E27FC236}">
              <a16:creationId xmlns:a16="http://schemas.microsoft.com/office/drawing/2014/main" id="{20EF2EBA-2DE8-490D-9D7F-D5C6D909E234}"/>
            </a:ext>
          </a:extLst>
        </xdr:cNvPr>
        <xdr:cNvSpPr/>
      </xdr:nvSpPr>
      <xdr:spPr>
        <a:xfrm>
          <a:off x="3457575" y="1466850"/>
          <a:ext cx="1447800" cy="657225"/>
        </a:xfrm>
        <a:prstGeom prst="roundRect">
          <a:avLst/>
        </a:prstGeom>
        <a:solidFill>
          <a:srgbClr val="FF000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514350</xdr:colOff>
      <xdr:row>7</xdr:row>
      <xdr:rowOff>133350</xdr:rowOff>
    </xdr:from>
    <xdr:to>
      <xdr:col>7</xdr:col>
      <xdr:colOff>676275</xdr:colOff>
      <xdr:row>10</xdr:row>
      <xdr:rowOff>171450</xdr:rowOff>
    </xdr:to>
    <xdr:sp macro="" textlink="">
      <xdr:nvSpPr>
        <xdr:cNvPr id="26" name="Rectangle: Rounded Corners 25">
          <a:extLst>
            <a:ext uri="{FF2B5EF4-FFF2-40B4-BE49-F238E27FC236}">
              <a16:creationId xmlns:a16="http://schemas.microsoft.com/office/drawing/2014/main" id="{EB067684-E462-4076-A5F1-1069EDF97C6B}"/>
            </a:ext>
          </a:extLst>
        </xdr:cNvPr>
        <xdr:cNvSpPr/>
      </xdr:nvSpPr>
      <xdr:spPr>
        <a:xfrm>
          <a:off x="3943350" y="1400175"/>
          <a:ext cx="1533525" cy="581025"/>
        </a:xfrm>
        <a:prstGeom prst="roundRect">
          <a:avLst/>
        </a:prstGeom>
        <a:solidFill>
          <a:srgbClr val="FFFF00"/>
        </a:solidFill>
        <a:effectLst>
          <a:innerShdw blurRad="63500" dist="50800" dir="54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000">
              <a:solidFill>
                <a:schemeClr val="tx1"/>
              </a:solidFill>
              <a:latin typeface="Copperplate Gothic Bold" panose="020E0705020206020404" pitchFamily="34" charset="0"/>
            </a:rPr>
            <a:t>Total Profit</a:t>
          </a:r>
          <a:endParaRPr lang="en-US" sz="1100">
            <a:solidFill>
              <a:schemeClr val="tx1"/>
            </a:solidFill>
            <a:latin typeface="Copperplate Gothic Bold" panose="020E0705020206020404" pitchFamily="34" charset="0"/>
          </a:endParaRPr>
        </a:p>
      </xdr:txBody>
    </xdr:sp>
    <xdr:clientData/>
  </xdr:twoCellAnchor>
  <xdr:twoCellAnchor editAs="oneCell">
    <xdr:from>
      <xdr:col>5</xdr:col>
      <xdr:colOff>514350</xdr:colOff>
      <xdr:row>8</xdr:row>
      <xdr:rowOff>66675</xdr:rowOff>
    </xdr:from>
    <xdr:to>
      <xdr:col>6</xdr:col>
      <xdr:colOff>245409</xdr:colOff>
      <xdr:row>10</xdr:row>
      <xdr:rowOff>127187</xdr:rowOff>
    </xdr:to>
    <xdr:pic>
      <xdr:nvPicPr>
        <xdr:cNvPr id="28" name="Graphic 27" descr="Upward trend">
          <a:extLst>
            <a:ext uri="{FF2B5EF4-FFF2-40B4-BE49-F238E27FC236}">
              <a16:creationId xmlns:a16="http://schemas.microsoft.com/office/drawing/2014/main" id="{D58BFE3F-9FAE-45BC-AA8D-08CBC68927D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3562350" y="1590675"/>
          <a:ext cx="419100" cy="419100"/>
        </a:xfrm>
        <a:prstGeom prst="rect">
          <a:avLst/>
        </a:prstGeom>
      </xdr:spPr>
    </xdr:pic>
    <xdr:clientData/>
  </xdr:twoCellAnchor>
  <xdr:twoCellAnchor>
    <xdr:from>
      <xdr:col>3</xdr:col>
      <xdr:colOff>200024</xdr:colOff>
      <xdr:row>8</xdr:row>
      <xdr:rowOff>123825</xdr:rowOff>
    </xdr:from>
    <xdr:to>
      <xdr:col>5</xdr:col>
      <xdr:colOff>95249</xdr:colOff>
      <xdr:row>12</xdr:row>
      <xdr:rowOff>47624</xdr:rowOff>
    </xdr:to>
    <xdr:sp macro="" textlink="Sheet1!B35">
      <xdr:nvSpPr>
        <xdr:cNvPr id="29" name="Rectangle: Rounded Corners 28">
          <a:extLst>
            <a:ext uri="{FF2B5EF4-FFF2-40B4-BE49-F238E27FC236}">
              <a16:creationId xmlns:a16="http://schemas.microsoft.com/office/drawing/2014/main" id="{0C8C5339-A823-4B89-86DB-959D2BF04927}"/>
            </a:ext>
          </a:extLst>
        </xdr:cNvPr>
        <xdr:cNvSpPr/>
      </xdr:nvSpPr>
      <xdr:spPr>
        <a:xfrm>
          <a:off x="2028824" y="1647825"/>
          <a:ext cx="1114425" cy="685799"/>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fld id="{80482A23-661D-4E36-9D1E-55E955272391}" type="TxLink">
            <a:rPr lang="en-US" sz="1600" b="1" i="0" u="none" strike="noStrike">
              <a:solidFill>
                <a:srgbClr val="000000"/>
              </a:solidFill>
              <a:latin typeface="Calibri"/>
              <a:cs typeface="Calibri"/>
            </a:rPr>
            <a:pPr algn="l"/>
            <a:t>561,000</a:t>
          </a:fld>
          <a:endParaRPr lang="en-US" sz="1600" b="1"/>
        </a:p>
      </xdr:txBody>
    </xdr:sp>
    <xdr:clientData/>
  </xdr:twoCellAnchor>
  <xdr:twoCellAnchor>
    <xdr:from>
      <xdr:col>6</xdr:col>
      <xdr:colOff>323849</xdr:colOff>
      <xdr:row>8</xdr:row>
      <xdr:rowOff>104775</xdr:rowOff>
    </xdr:from>
    <xdr:to>
      <xdr:col>8</xdr:col>
      <xdr:colOff>219074</xdr:colOff>
      <xdr:row>12</xdr:row>
      <xdr:rowOff>28574</xdr:rowOff>
    </xdr:to>
    <xdr:sp macro="" textlink="Sheet1!B38">
      <xdr:nvSpPr>
        <xdr:cNvPr id="30" name="Rectangle: Rounded Corners 29">
          <a:extLst>
            <a:ext uri="{FF2B5EF4-FFF2-40B4-BE49-F238E27FC236}">
              <a16:creationId xmlns:a16="http://schemas.microsoft.com/office/drawing/2014/main" id="{91F1EDAB-4C7F-44C9-9D1B-40A0E5431B66}"/>
            </a:ext>
          </a:extLst>
        </xdr:cNvPr>
        <xdr:cNvSpPr/>
      </xdr:nvSpPr>
      <xdr:spPr>
        <a:xfrm>
          <a:off x="3981449" y="1628775"/>
          <a:ext cx="1114425" cy="685799"/>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fld id="{CE2650DD-9A32-436F-B761-0E41542541CE}" type="TxLink">
            <a:rPr lang="en-US" sz="1800" b="1" i="0" u="none" strike="noStrike">
              <a:solidFill>
                <a:srgbClr val="000000"/>
              </a:solidFill>
              <a:latin typeface="Calibri"/>
              <a:cs typeface="Calibri"/>
            </a:rPr>
            <a:pPr algn="l"/>
            <a:t>87000</a:t>
          </a:fld>
          <a:endParaRPr lang="en-US" sz="2800" b="1"/>
        </a:p>
      </xdr:txBody>
    </xdr:sp>
    <xdr:clientData/>
  </xdr:twoCellAnchor>
  <xdr:twoCellAnchor>
    <xdr:from>
      <xdr:col>0</xdr:col>
      <xdr:colOff>267585</xdr:colOff>
      <xdr:row>18</xdr:row>
      <xdr:rowOff>57748</xdr:rowOff>
    </xdr:from>
    <xdr:to>
      <xdr:col>2</xdr:col>
      <xdr:colOff>334260</xdr:colOff>
      <xdr:row>34</xdr:row>
      <xdr:rowOff>127662</xdr:rowOff>
    </xdr:to>
    <xdr:sp macro="" textlink="">
      <xdr:nvSpPr>
        <xdr:cNvPr id="33" name="Rectangle: Rounded Corners 32">
          <a:extLst>
            <a:ext uri="{FF2B5EF4-FFF2-40B4-BE49-F238E27FC236}">
              <a16:creationId xmlns:a16="http://schemas.microsoft.com/office/drawing/2014/main" id="{199ACF27-CD46-411D-9F2B-8DB8335302F9}"/>
            </a:ext>
          </a:extLst>
        </xdr:cNvPr>
        <xdr:cNvSpPr/>
      </xdr:nvSpPr>
      <xdr:spPr>
        <a:xfrm>
          <a:off x="267585" y="3239294"/>
          <a:ext cx="1441417" cy="2897956"/>
        </a:xfrm>
        <a:prstGeom prst="roundRect">
          <a:avLst>
            <a:gd name="adj" fmla="val 9467"/>
          </a:avLst>
        </a:prstGeom>
        <a:gradFill>
          <a:gsLst>
            <a:gs pos="0">
              <a:schemeClr val="accent4"/>
            </a:gs>
            <a:gs pos="46000">
              <a:schemeClr val="tx2">
                <a:lumMod val="50000"/>
                <a:lumOff val="50000"/>
              </a:schemeClr>
            </a:gs>
            <a:gs pos="100000">
              <a:srgbClr val="FF0000"/>
            </a:gs>
          </a:gsLst>
          <a:lin ang="2700000" scaled="1"/>
        </a:gradFill>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Britannic Bold" panose="020B0903060703020204" pitchFamily="34" charset="0"/>
              <a:ea typeface="+mn-ea"/>
              <a:cs typeface="+mn-cs"/>
            </a:rPr>
            <a:t>    Product Name</a:t>
          </a:r>
        </a:p>
      </xdr:txBody>
    </xdr:sp>
    <xdr:clientData/>
  </xdr:twoCellAnchor>
  <xdr:twoCellAnchor editAs="oneCell">
    <xdr:from>
      <xdr:col>0</xdr:col>
      <xdr:colOff>400934</xdr:colOff>
      <xdr:row>20</xdr:row>
      <xdr:rowOff>6872</xdr:rowOff>
    </xdr:from>
    <xdr:to>
      <xdr:col>2</xdr:col>
      <xdr:colOff>225002</xdr:colOff>
      <xdr:row>34</xdr:row>
      <xdr:rowOff>98194</xdr:rowOff>
    </xdr:to>
    <mc:AlternateContent xmlns:mc="http://schemas.openxmlformats.org/markup-compatibility/2006">
      <mc:Choice xmlns:a14="http://schemas.microsoft.com/office/drawing/2010/main" Requires="a14">
        <xdr:graphicFrame macro="">
          <xdr:nvGraphicFramePr>
            <xdr:cNvPr id="32" name="Product Name 1">
              <a:extLst>
                <a:ext uri="{FF2B5EF4-FFF2-40B4-BE49-F238E27FC236}">
                  <a16:creationId xmlns:a16="http://schemas.microsoft.com/office/drawing/2014/main" id="{CF546AF9-76DF-48B5-9798-44FE9BFC06C9}"/>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dr:sp macro="" textlink="">
          <xdr:nvSpPr>
            <xdr:cNvPr id="0" name=""/>
            <xdr:cNvSpPr>
              <a:spLocks noTextEdit="1"/>
            </xdr:cNvSpPr>
          </xdr:nvSpPr>
          <xdr:spPr>
            <a:xfrm>
              <a:off x="400934" y="3541924"/>
              <a:ext cx="1198810" cy="25658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409574</xdr:colOff>
      <xdr:row>18</xdr:row>
      <xdr:rowOff>85725</xdr:rowOff>
    </xdr:from>
    <xdr:to>
      <xdr:col>10</xdr:col>
      <xdr:colOff>200025</xdr:colOff>
      <xdr:row>35</xdr:row>
      <xdr:rowOff>78557</xdr:rowOff>
    </xdr:to>
    <xdr:sp macro="" textlink="">
      <xdr:nvSpPr>
        <xdr:cNvPr id="34" name="Rectangle: Rounded Corners 33">
          <a:extLst>
            <a:ext uri="{FF2B5EF4-FFF2-40B4-BE49-F238E27FC236}">
              <a16:creationId xmlns:a16="http://schemas.microsoft.com/office/drawing/2014/main" id="{20817C2E-DBA2-4A5E-9035-E2C72335E7BD}"/>
            </a:ext>
          </a:extLst>
        </xdr:cNvPr>
        <xdr:cNvSpPr/>
      </xdr:nvSpPr>
      <xdr:spPr>
        <a:xfrm>
          <a:off x="1784316" y="3267271"/>
          <a:ext cx="5289420" cy="2997626"/>
        </a:xfrm>
        <a:prstGeom prst="roundRect">
          <a:avLst>
            <a:gd name="adj" fmla="val 15029"/>
          </a:avLst>
        </a:prstGeom>
        <a:gradFill>
          <a:gsLst>
            <a:gs pos="0">
              <a:schemeClr val="accent4"/>
            </a:gs>
            <a:gs pos="46000">
              <a:schemeClr val="tx2">
                <a:lumMod val="50000"/>
                <a:lumOff val="50000"/>
              </a:schemeClr>
            </a:gs>
            <a:gs pos="100000">
              <a:srgbClr val="FF0000"/>
            </a:gs>
          </a:gsLst>
          <a:lin ang="2700000" scaled="1"/>
        </a:gradFill>
        <a:ln>
          <a:noFill/>
        </a:ln>
        <a:effectLst>
          <a:outerShdw blurRad="107950" dist="12700" dir="5400000" algn="ctr">
            <a:srgbClr val="000000"/>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FF00"/>
              </a:solidFill>
              <a:latin typeface="Copperplate Gothic Bold" panose="020E0705020206020404" pitchFamily="34" charset="0"/>
            </a:rPr>
            <a:t>PRODUCT  TOTAL SALE</a:t>
          </a:r>
        </a:p>
      </xdr:txBody>
    </xdr:sp>
    <xdr:clientData/>
  </xdr:twoCellAnchor>
  <xdr:twoCellAnchor>
    <xdr:from>
      <xdr:col>10</xdr:col>
      <xdr:colOff>453837</xdr:colOff>
      <xdr:row>20</xdr:row>
      <xdr:rowOff>85726</xdr:rowOff>
    </xdr:from>
    <xdr:to>
      <xdr:col>15</xdr:col>
      <xdr:colOff>482413</xdr:colOff>
      <xdr:row>33</xdr:row>
      <xdr:rowOff>68737</xdr:rowOff>
    </xdr:to>
    <xdr:graphicFrame macro="">
      <xdr:nvGraphicFramePr>
        <xdr:cNvPr id="10" name="Chart 9">
          <a:extLst>
            <a:ext uri="{FF2B5EF4-FFF2-40B4-BE49-F238E27FC236}">
              <a16:creationId xmlns:a16="http://schemas.microsoft.com/office/drawing/2014/main" id="{914F8E50-9536-4832-B085-88844E5F9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571498</xdr:colOff>
      <xdr:row>20</xdr:row>
      <xdr:rowOff>125887</xdr:rowOff>
    </xdr:from>
    <xdr:to>
      <xdr:col>10</xdr:col>
      <xdr:colOff>85725</xdr:colOff>
      <xdr:row>34</xdr:row>
      <xdr:rowOff>58917</xdr:rowOff>
    </xdr:to>
    <xdr:graphicFrame macro="">
      <xdr:nvGraphicFramePr>
        <xdr:cNvPr id="31" name="Chart 30">
          <a:extLst>
            <a:ext uri="{FF2B5EF4-FFF2-40B4-BE49-F238E27FC236}">
              <a16:creationId xmlns:a16="http://schemas.microsoft.com/office/drawing/2014/main" id="{4E5F56AB-94FF-47B0-9727-1EAF82968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247650</xdr:colOff>
      <xdr:row>7</xdr:row>
      <xdr:rowOff>84548</xdr:rowOff>
    </xdr:from>
    <xdr:to>
      <xdr:col>2</xdr:col>
      <xdr:colOff>314325</xdr:colOff>
      <xdr:row>15</xdr:row>
      <xdr:rowOff>132173</xdr:rowOff>
    </xdr:to>
    <xdr:sp macro="" textlink="">
      <xdr:nvSpPr>
        <xdr:cNvPr id="27" name="Rectangle: Rounded Corners 26">
          <a:extLst>
            <a:ext uri="{FF2B5EF4-FFF2-40B4-BE49-F238E27FC236}">
              <a16:creationId xmlns:a16="http://schemas.microsoft.com/office/drawing/2014/main" id="{881DDA66-C0E4-43AF-9D88-1D1F9ED3BA42}"/>
            </a:ext>
          </a:extLst>
        </xdr:cNvPr>
        <xdr:cNvSpPr/>
      </xdr:nvSpPr>
      <xdr:spPr>
        <a:xfrm>
          <a:off x="247650" y="1321816"/>
          <a:ext cx="1441417" cy="1461646"/>
        </a:xfrm>
        <a:prstGeom prst="roundRect">
          <a:avLst>
            <a:gd name="adj" fmla="val 9467"/>
          </a:avLst>
        </a:prstGeom>
        <a:gradFill>
          <a:gsLst>
            <a:gs pos="0">
              <a:schemeClr val="accent4"/>
            </a:gs>
            <a:gs pos="46000">
              <a:schemeClr val="tx2">
                <a:lumMod val="50000"/>
                <a:lumOff val="50000"/>
              </a:schemeClr>
            </a:gs>
            <a:gs pos="100000">
              <a:srgbClr val="FF0000"/>
            </a:gs>
          </a:gsLst>
          <a:lin ang="2700000" scaled="1"/>
        </a:gradFill>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atin typeface="Britannic Bold" panose="020B0903060703020204" pitchFamily="34" charset="0"/>
            </a:rPr>
            <a:t>  Product</a:t>
          </a:r>
          <a:r>
            <a:rPr lang="en-US" sz="1100" baseline="0">
              <a:latin typeface="Britannic Bold" panose="020B0903060703020204" pitchFamily="34" charset="0"/>
            </a:rPr>
            <a:t> Name</a:t>
          </a:r>
          <a:endParaRPr lang="en-US" sz="1100">
            <a:latin typeface="Britannic Bold" panose="020B0903060703020204" pitchFamily="34" charset="0"/>
          </a:endParaRPr>
        </a:p>
      </xdr:txBody>
    </xdr:sp>
    <xdr:clientData/>
  </xdr:twoCellAnchor>
  <xdr:twoCellAnchor editAs="oneCell">
    <xdr:from>
      <xdr:col>0</xdr:col>
      <xdr:colOff>447675</xdr:colOff>
      <xdr:row>8</xdr:row>
      <xdr:rowOff>28286</xdr:rowOff>
    </xdr:from>
    <xdr:to>
      <xdr:col>2</xdr:col>
      <xdr:colOff>81242</xdr:colOff>
      <xdr:row>15</xdr:row>
      <xdr:rowOff>37810</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1C1B1BAB-212E-4A93-85AB-DF71D45F0C3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47675" y="1442307"/>
              <a:ext cx="1008309" cy="1246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247649</xdr:colOff>
      <xdr:row>7</xdr:row>
      <xdr:rowOff>121585</xdr:rowOff>
    </xdr:from>
    <xdr:to>
      <xdr:col>10</xdr:col>
      <xdr:colOff>400051</xdr:colOff>
      <xdr:row>16</xdr:row>
      <xdr:rowOff>133350</xdr:rowOff>
    </xdr:to>
    <xdr:graphicFrame macro="">
      <xdr:nvGraphicFramePr>
        <xdr:cNvPr id="37" name="Chart 36">
          <a:extLst>
            <a:ext uri="{FF2B5EF4-FFF2-40B4-BE49-F238E27FC236}">
              <a16:creationId xmlns:a16="http://schemas.microsoft.com/office/drawing/2014/main" id="{0696C5C8-80FD-441C-BD61-5EC6609A0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400049</xdr:colOff>
      <xdr:row>11</xdr:row>
      <xdr:rowOff>104775</xdr:rowOff>
    </xdr:from>
    <xdr:to>
      <xdr:col>8</xdr:col>
      <xdr:colOff>85724</xdr:colOff>
      <xdr:row>18</xdr:row>
      <xdr:rowOff>19050</xdr:rowOff>
    </xdr:to>
    <xdr:sp macro="" textlink="">
      <xdr:nvSpPr>
        <xdr:cNvPr id="36" name="Rectangle: Rounded Corners 35">
          <a:extLst>
            <a:ext uri="{FF2B5EF4-FFF2-40B4-BE49-F238E27FC236}">
              <a16:creationId xmlns:a16="http://schemas.microsoft.com/office/drawing/2014/main" id="{34025636-936D-4E76-A416-A48679CC6C35}"/>
            </a:ext>
          </a:extLst>
        </xdr:cNvPr>
        <xdr:cNvSpPr/>
      </xdr:nvSpPr>
      <xdr:spPr>
        <a:xfrm>
          <a:off x="1771649" y="2095500"/>
          <a:ext cx="3800475" cy="1181100"/>
        </a:xfrm>
        <a:prstGeom prst="roundRect">
          <a:avLst/>
        </a:prstGeom>
        <a:gradFill>
          <a:gsLst>
            <a:gs pos="0">
              <a:schemeClr val="accent4"/>
            </a:gs>
            <a:gs pos="46000">
              <a:schemeClr val="tx2">
                <a:lumMod val="50000"/>
                <a:lumOff val="50000"/>
              </a:schemeClr>
            </a:gs>
            <a:gs pos="100000">
              <a:srgbClr val="FF0000"/>
            </a:gs>
          </a:gsLst>
          <a:lin ang="2700000" scaled="1"/>
        </a:gradFill>
        <a:ln>
          <a:noFill/>
        </a:ln>
        <a:effectLst>
          <a:outerShdw blurRad="107950" dist="12700" dir="5400000" algn="ctr">
            <a:srgbClr val="000000"/>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a:solidFill>
              <a:srgbClr val="FFFF00"/>
            </a:solidFill>
            <a:latin typeface="Cooper Black" panose="0208090404030B020404" pitchFamily="18" charset="0"/>
          </a:endParaRPr>
        </a:p>
      </xdr:txBody>
    </xdr:sp>
    <xdr:clientData/>
  </xdr:twoCellAnchor>
  <xdr:twoCellAnchor>
    <xdr:from>
      <xdr:col>2</xdr:col>
      <xdr:colOff>466725</xdr:colOff>
      <xdr:row>11</xdr:row>
      <xdr:rowOff>152401</xdr:rowOff>
    </xdr:from>
    <xdr:to>
      <xdr:col>8</xdr:col>
      <xdr:colOff>19050</xdr:colOff>
      <xdr:row>17</xdr:row>
      <xdr:rowOff>123825</xdr:rowOff>
    </xdr:to>
    <xdr:graphicFrame macro="">
      <xdr:nvGraphicFramePr>
        <xdr:cNvPr id="35" name="Chart 34">
          <a:extLst>
            <a:ext uri="{FF2B5EF4-FFF2-40B4-BE49-F238E27FC236}">
              <a16:creationId xmlns:a16="http://schemas.microsoft.com/office/drawing/2014/main" id="{C3E38E27-FB3F-48D6-A3D9-9E62D4513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123825</xdr:colOff>
      <xdr:row>19</xdr:row>
      <xdr:rowOff>38100</xdr:rowOff>
    </xdr:from>
    <xdr:to>
      <xdr:col>18</xdr:col>
      <xdr:colOff>95250</xdr:colOff>
      <xdr:row>34</xdr:row>
      <xdr:rowOff>157113</xdr:rowOff>
    </xdr:to>
    <xdr:sp macro="" textlink="">
      <xdr:nvSpPr>
        <xdr:cNvPr id="38" name="Rectangle: Rounded Corners 37">
          <a:extLst>
            <a:ext uri="{FF2B5EF4-FFF2-40B4-BE49-F238E27FC236}">
              <a16:creationId xmlns:a16="http://schemas.microsoft.com/office/drawing/2014/main" id="{B8E9AFEA-288C-4DE0-8E9A-6B38BA75AD09}"/>
            </a:ext>
          </a:extLst>
        </xdr:cNvPr>
        <xdr:cNvSpPr/>
      </xdr:nvSpPr>
      <xdr:spPr>
        <a:xfrm>
          <a:off x="11121763" y="3396399"/>
          <a:ext cx="1346167" cy="2770302"/>
        </a:xfrm>
        <a:prstGeom prst="roundRect">
          <a:avLst/>
        </a:prstGeom>
        <a:gradFill>
          <a:gsLst>
            <a:gs pos="0">
              <a:schemeClr val="accent4"/>
            </a:gs>
            <a:gs pos="46000">
              <a:schemeClr val="tx2">
                <a:lumMod val="50000"/>
                <a:lumOff val="50000"/>
              </a:schemeClr>
            </a:gs>
            <a:gs pos="100000">
              <a:srgbClr val="FF0000"/>
            </a:gs>
          </a:gsLst>
          <a:lin ang="2700000" scaled="1"/>
        </a:gradFill>
        <a:ln>
          <a:noFill/>
        </a:ln>
        <a:effectLst>
          <a:outerShdw blurRad="107950" dist="12700" dir="5400000" algn="ctr">
            <a:srgbClr val="000000"/>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a:solidFill>
              <a:srgbClr val="FFFF00"/>
            </a:solidFill>
            <a:latin typeface="Cooper Black" panose="0208090404030B020404" pitchFamily="18" charset="0"/>
          </a:endParaRPr>
        </a:p>
      </xdr:txBody>
    </xdr:sp>
    <xdr:clientData/>
  </xdr:twoCellAnchor>
  <xdr:twoCellAnchor editAs="oneCell">
    <xdr:from>
      <xdr:col>16</xdr:col>
      <xdr:colOff>238127</xdr:colOff>
      <xdr:row>22</xdr:row>
      <xdr:rowOff>126478</xdr:rowOff>
    </xdr:from>
    <xdr:to>
      <xdr:col>18</xdr:col>
      <xdr:colOff>1</xdr:colOff>
      <xdr:row>33</xdr:row>
      <xdr:rowOff>68738</xdr:rowOff>
    </xdr:to>
    <mc:AlternateContent xmlns:mc="http://schemas.openxmlformats.org/markup-compatibility/2006" xmlns:a14="http://schemas.microsoft.com/office/drawing/2010/main">
      <mc:Choice Requires="a14">
        <xdr:graphicFrame macro="">
          <xdr:nvGraphicFramePr>
            <xdr:cNvPr id="6" name="Month 1">
              <a:extLst>
                <a:ext uri="{FF2B5EF4-FFF2-40B4-BE49-F238E27FC236}">
                  <a16:creationId xmlns:a16="http://schemas.microsoft.com/office/drawing/2014/main" id="{97D87D5E-73F2-48E6-97E9-F08B8462435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236065" y="4015035"/>
              <a:ext cx="1136616" cy="18865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466725</xdr:colOff>
      <xdr:row>7</xdr:row>
      <xdr:rowOff>28574</xdr:rowOff>
    </xdr:from>
    <xdr:to>
      <xdr:col>18</xdr:col>
      <xdr:colOff>409575</xdr:colOff>
      <xdr:row>18</xdr:row>
      <xdr:rowOff>142874</xdr:rowOff>
    </xdr:to>
    <xdr:sp macro="" textlink="">
      <xdr:nvSpPr>
        <xdr:cNvPr id="39" name="Rectangle: Rounded Corners 38">
          <a:extLst>
            <a:ext uri="{FF2B5EF4-FFF2-40B4-BE49-F238E27FC236}">
              <a16:creationId xmlns:a16="http://schemas.microsoft.com/office/drawing/2014/main" id="{8F1E65EA-809A-4F5C-AF7D-741F27F6A989}"/>
            </a:ext>
          </a:extLst>
        </xdr:cNvPr>
        <xdr:cNvSpPr/>
      </xdr:nvSpPr>
      <xdr:spPr>
        <a:xfrm>
          <a:off x="10753725" y="1295399"/>
          <a:ext cx="2000250" cy="2105025"/>
        </a:xfrm>
        <a:prstGeom prst="roundRect">
          <a:avLst>
            <a:gd name="adj" fmla="val 5238"/>
          </a:avLst>
        </a:prstGeom>
        <a:gradFill>
          <a:gsLst>
            <a:gs pos="0">
              <a:schemeClr val="accent4"/>
            </a:gs>
            <a:gs pos="46000">
              <a:schemeClr val="tx2">
                <a:lumMod val="50000"/>
                <a:lumOff val="50000"/>
              </a:schemeClr>
            </a:gs>
            <a:gs pos="100000">
              <a:srgbClr val="FF0000"/>
            </a:gs>
          </a:gsLst>
          <a:lin ang="2700000" scaled="1"/>
        </a:gradFill>
        <a:ln>
          <a:noFill/>
        </a:ln>
        <a:effectLst>
          <a:outerShdw blurRad="107950" dist="12700" dir="5400000" algn="ctr">
            <a:srgbClr val="000000"/>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a:solidFill>
              <a:srgbClr val="FFFF00"/>
            </a:solidFill>
            <a:latin typeface="Cooper Black" panose="0208090404030B020404" pitchFamily="18" charset="0"/>
          </a:endParaRPr>
        </a:p>
      </xdr:txBody>
    </xdr:sp>
    <xdr:clientData/>
  </xdr:twoCellAnchor>
  <xdr:twoCellAnchor editAs="oneCell">
    <xdr:from>
      <xdr:col>15</xdr:col>
      <xdr:colOff>628649</xdr:colOff>
      <xdr:row>7</xdr:row>
      <xdr:rowOff>95249</xdr:rowOff>
    </xdr:from>
    <xdr:to>
      <xdr:col>18</xdr:col>
      <xdr:colOff>285750</xdr:colOff>
      <xdr:row>18</xdr:row>
      <xdr:rowOff>57149</xdr:rowOff>
    </xdr:to>
    <mc:AlternateContent xmlns:mc="http://schemas.openxmlformats.org/markup-compatibility/2006" xmlns:a14="http://schemas.microsoft.com/office/drawing/2010/main">
      <mc:Choice Requires="a14">
        <xdr:graphicFrame macro="">
          <xdr:nvGraphicFramePr>
            <xdr:cNvPr id="4" name="Order Date 1">
              <a:extLst>
                <a:ext uri="{FF2B5EF4-FFF2-40B4-BE49-F238E27FC236}">
                  <a16:creationId xmlns:a16="http://schemas.microsoft.com/office/drawing/2014/main" id="{7DBD9EE0-C554-4E32-AED5-91A760F204BA}"/>
                </a:ext>
              </a:extLst>
            </xdr:cNvPr>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mlns="">
        <xdr:sp macro="" textlink="">
          <xdr:nvSpPr>
            <xdr:cNvPr id="0" name=""/>
            <xdr:cNvSpPr>
              <a:spLocks noTextEdit="1"/>
            </xdr:cNvSpPr>
          </xdr:nvSpPr>
          <xdr:spPr>
            <a:xfrm>
              <a:off x="10939216" y="1332517"/>
              <a:ext cx="1719214" cy="19061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561973</xdr:colOff>
      <xdr:row>0</xdr:row>
      <xdr:rowOff>133350</xdr:rowOff>
    </xdr:from>
    <xdr:to>
      <xdr:col>18</xdr:col>
      <xdr:colOff>451701</xdr:colOff>
      <xdr:row>4</xdr:row>
      <xdr:rowOff>88378</xdr:rowOff>
    </xdr:to>
    <xdr:sp macro="" textlink="">
      <xdr:nvSpPr>
        <xdr:cNvPr id="40" name="Rectangle: Rounded Corners 39">
          <a:extLst>
            <a:ext uri="{FF2B5EF4-FFF2-40B4-BE49-F238E27FC236}">
              <a16:creationId xmlns:a16="http://schemas.microsoft.com/office/drawing/2014/main" id="{C2E1F0A4-E1A1-4E15-9D1D-A2E14AE708B8}"/>
            </a:ext>
          </a:extLst>
        </xdr:cNvPr>
        <xdr:cNvSpPr/>
      </xdr:nvSpPr>
      <xdr:spPr>
        <a:xfrm>
          <a:off x="1249344" y="133350"/>
          <a:ext cx="11575037" cy="662038"/>
        </a:xfrm>
        <a:prstGeom prst="roundRect">
          <a:avLst/>
        </a:prstGeom>
        <a:gradFill flip="none" rotWithShape="1">
          <a:gsLst>
            <a:gs pos="0">
              <a:srgbClr val="FF0000"/>
            </a:gs>
            <a:gs pos="46000">
              <a:schemeClr val="tx2">
                <a:lumMod val="50000"/>
                <a:lumOff val="50000"/>
              </a:schemeClr>
            </a:gs>
            <a:gs pos="100000">
              <a:srgbClr val="FF0000"/>
            </a:gs>
          </a:gsLst>
          <a:lin ang="0" scaled="1"/>
          <a:tileRect/>
        </a:gradFill>
        <a:ln>
          <a:noFill/>
        </a:ln>
        <a:effectLst>
          <a:innerShdw blurRad="114300">
            <a:prstClr val="black"/>
          </a:inn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a:noFill/>
            </a:ln>
            <a:solidFill>
              <a:srgbClr val="FFFF00"/>
            </a:solidFill>
            <a:effectLst/>
            <a:latin typeface="Cooper Black" panose="0208090404030B020404" pitchFamily="18" charset="0"/>
          </a:endParaRPr>
        </a:p>
      </xdr:txBody>
    </xdr:sp>
    <xdr:clientData/>
  </xdr:twoCellAnchor>
  <xdr:twoCellAnchor editAs="oneCell">
    <xdr:from>
      <xdr:col>2</xdr:col>
      <xdr:colOff>97019</xdr:colOff>
      <xdr:row>0</xdr:row>
      <xdr:rowOff>162222</xdr:rowOff>
    </xdr:from>
    <xdr:to>
      <xdr:col>18</xdr:col>
      <xdr:colOff>177930</xdr:colOff>
      <xdr:row>4</xdr:row>
      <xdr:rowOff>49097</xdr:rowOff>
    </xdr:to>
    <mc:AlternateContent xmlns:mc="http://schemas.openxmlformats.org/markup-compatibility/2006" xmlns:a14="http://schemas.microsoft.com/office/drawing/2010/main">
      <mc:Choice Requires="a14">
        <xdr:graphicFrame macro="">
          <xdr:nvGraphicFramePr>
            <xdr:cNvPr id="7" name="State 1">
              <a:extLst>
                <a:ext uri="{FF2B5EF4-FFF2-40B4-BE49-F238E27FC236}">
                  <a16:creationId xmlns:a16="http://schemas.microsoft.com/office/drawing/2014/main" id="{E5DEFB0D-00EC-484E-80BA-A13EACB7AF5A}"/>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471761" y="162223"/>
              <a:ext cx="11078849" cy="5349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490980</xdr:colOff>
      <xdr:row>0</xdr:row>
      <xdr:rowOff>157114</xdr:rowOff>
    </xdr:from>
    <xdr:to>
      <xdr:col>1</xdr:col>
      <xdr:colOff>382963</xdr:colOff>
      <xdr:row>4</xdr:row>
      <xdr:rowOff>29458</xdr:rowOff>
    </xdr:to>
    <xdr:pic>
      <xdr:nvPicPr>
        <xdr:cNvPr id="12" name="Picture 11">
          <a:extLst>
            <a:ext uri="{FF2B5EF4-FFF2-40B4-BE49-F238E27FC236}">
              <a16:creationId xmlns:a16="http://schemas.microsoft.com/office/drawing/2014/main" id="{38D66D16-458E-45FD-8DDD-24B74881B657}"/>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1" t="1" r="3030" b="3030"/>
        <a:stretch/>
      </xdr:blipFill>
      <xdr:spPr>
        <a:xfrm>
          <a:off x="490980" y="157114"/>
          <a:ext cx="579354" cy="579354"/>
        </a:xfrm>
        <a:prstGeom prst="roundRect">
          <a:avLst>
            <a:gd name="adj" fmla="val 4167"/>
          </a:avLst>
        </a:prstGeom>
        <a:solidFill>
          <a:srgbClr val="FF0000"/>
        </a:solidFill>
        <a:ln w="76200" cap="sq">
          <a:solidFill>
            <a:srgbClr val="292929"/>
          </a:solidFill>
          <a:miter lim="800000"/>
        </a:ln>
        <a:effectLst>
          <a:outerShdw blurRad="50800" dist="50800" dir="5400000" algn="ctr" rotWithShape="0">
            <a:schemeClr val="accent4"/>
          </a:outerShdw>
          <a:reflection blurRad="12700" stA="28000" endPos="28000" dist="5000" dir="5400000" sy="-100000" algn="bl" rotWithShape="0"/>
        </a:effectLst>
        <a:scene3d>
          <a:camera prst="orthographicFront"/>
          <a:lightRig rig="threePt" dir="t">
            <a:rot lat="0" lon="0" rev="2700000"/>
          </a:lightRig>
        </a:scene3d>
        <a:sp3d>
          <a:bevelT h="38100"/>
          <a:contourClr>
            <a:srgbClr val="C0C0C0"/>
          </a:contourClr>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prakash raj" refreshedDate="46016.833226620372" createdVersion="6" refreshedVersion="6" minRefreshableVersion="3" recordCount="12" xr:uid="{7364CE81-514C-4AD8-A7C8-8E5C7C170EA5}">
  <cacheSource type="worksheet">
    <worksheetSource ref="A1:L13" sheet="Data"/>
  </cacheSource>
  <cacheFields count="12">
    <cacheField name="Order ID" numFmtId="0">
      <sharedItems containsSemiMixedTypes="0" containsString="0" containsNumber="1" containsInteger="1" minValue="1001" maxValue="1012"/>
    </cacheField>
    <cacheField name="Order Date" numFmtId="0">
      <sharedItems containsDate="1" containsMixedTypes="1" minDate="2024-01-01T00:00:00" maxDate="2024-12-03T00:00:00" count="12">
        <d v="2024-01-01T00:00:00"/>
        <d v="2024-03-01T00:00:00"/>
        <d v="2024-05-01T00:00:00"/>
        <d v="2024-08-01T00:00:00"/>
        <d v="2024-12-02T00:00:00"/>
        <s v="14-02-2024"/>
        <s v="18-02-2024"/>
        <s v="22-02-2024"/>
        <d v="2024-05-03T00:00:00"/>
        <d v="2024-10-03T00:00:00"/>
        <s v="15-03-2024"/>
        <s v="20-03-2024"/>
      </sharedItems>
    </cacheField>
    <cacheField name="Month" numFmtId="0">
      <sharedItems count="3">
        <s v="Jan"/>
        <s v="Feb"/>
        <s v="Mar"/>
      </sharedItems>
    </cacheField>
    <cacheField name="Region" numFmtId="0">
      <sharedItems count="4">
        <s v="North"/>
        <s v="East"/>
        <s v="West"/>
        <s v="South"/>
      </sharedItems>
    </cacheField>
    <cacheField name="State" numFmtId="0">
      <sharedItems count="9">
        <s v="Delhi"/>
        <s v="Bihar"/>
        <s v="Maharashtra"/>
        <s v="Tamil Nadu"/>
        <s v="UP"/>
        <s v="Gujarat"/>
        <s v="Karnataka"/>
        <s v="Jharkhand"/>
        <s v="Kerala"/>
      </sharedItems>
    </cacheField>
    <cacheField name="Sales Person" numFmtId="0">
      <sharedItems count="4">
        <s v="Rahul"/>
        <s v="Amit"/>
        <s v="Neha"/>
        <s v="Kiran"/>
      </sharedItems>
    </cacheField>
    <cacheField name="Product Category" numFmtId="0">
      <sharedItems count="3">
        <s v="Electronics"/>
        <s v="Furniture"/>
        <s v="Office Supplies"/>
      </sharedItems>
    </cacheField>
    <cacheField name="Product Name" numFmtId="0">
      <sharedItems count="10">
        <s v="Laptop"/>
        <s v="Chair"/>
        <s v="Mobile"/>
        <s v="Printer"/>
        <s v="Table"/>
        <s v="Tablet"/>
        <s v="Scanner"/>
        <s v="Sofa"/>
        <s v="Headphones"/>
        <s v="Monitor"/>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1500" maxValue="50000"/>
    </cacheField>
    <cacheField name="Total Sales" numFmtId="0">
      <sharedItems containsSemiMixedTypes="0" containsString="0" containsNumber="1" containsInteger="1" minValue="12000" maxValue="102000"/>
    </cacheField>
    <cacheField name="Profit" numFmtId="0">
      <sharedItems containsSemiMixedTypes="0" containsString="0" containsNumber="1" containsInteger="1" minValue="2500" maxValue="16000"/>
    </cacheField>
  </cacheFields>
  <extLst>
    <ext xmlns:x14="http://schemas.microsoft.com/office/spreadsheetml/2009/9/main" uri="{725AE2AE-9491-48be-B2B4-4EB974FC3084}">
      <x14:pivotCacheDefinition pivotCacheId="1496907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1001"/>
    <x v="0"/>
    <x v="0"/>
    <x v="0"/>
    <x v="0"/>
    <x v="0"/>
    <x v="0"/>
    <x v="0"/>
    <n v="2"/>
    <n v="45000"/>
    <n v="90000"/>
    <n v="12000"/>
  </r>
  <r>
    <n v="1002"/>
    <x v="1"/>
    <x v="0"/>
    <x v="1"/>
    <x v="1"/>
    <x v="1"/>
    <x v="1"/>
    <x v="1"/>
    <n v="10"/>
    <n v="1500"/>
    <n v="15000"/>
    <n v="3000"/>
  </r>
  <r>
    <n v="1003"/>
    <x v="2"/>
    <x v="0"/>
    <x v="2"/>
    <x v="2"/>
    <x v="2"/>
    <x v="0"/>
    <x v="2"/>
    <n v="5"/>
    <n v="18000"/>
    <n v="90000"/>
    <n v="15000"/>
  </r>
  <r>
    <n v="1004"/>
    <x v="3"/>
    <x v="0"/>
    <x v="3"/>
    <x v="3"/>
    <x v="3"/>
    <x v="2"/>
    <x v="3"/>
    <n v="1"/>
    <n v="12000"/>
    <n v="12000"/>
    <n v="2500"/>
  </r>
  <r>
    <n v="1005"/>
    <x v="4"/>
    <x v="1"/>
    <x v="0"/>
    <x v="4"/>
    <x v="0"/>
    <x v="1"/>
    <x v="4"/>
    <n v="3"/>
    <n v="8000"/>
    <n v="24000"/>
    <n v="4000"/>
  </r>
  <r>
    <n v="1006"/>
    <x v="5"/>
    <x v="1"/>
    <x v="1"/>
    <x v="1"/>
    <x v="1"/>
    <x v="0"/>
    <x v="5"/>
    <n v="4"/>
    <n v="20000"/>
    <n v="80000"/>
    <n v="10000"/>
  </r>
  <r>
    <n v="1007"/>
    <x v="6"/>
    <x v="1"/>
    <x v="2"/>
    <x v="5"/>
    <x v="2"/>
    <x v="2"/>
    <x v="6"/>
    <n v="2"/>
    <n v="9000"/>
    <n v="18000"/>
    <n v="3000"/>
  </r>
  <r>
    <n v="1008"/>
    <x v="7"/>
    <x v="1"/>
    <x v="3"/>
    <x v="6"/>
    <x v="3"/>
    <x v="0"/>
    <x v="0"/>
    <n v="1"/>
    <n v="50000"/>
    <n v="50000"/>
    <n v="7000"/>
  </r>
  <r>
    <n v="1009"/>
    <x v="8"/>
    <x v="2"/>
    <x v="0"/>
    <x v="0"/>
    <x v="0"/>
    <x v="0"/>
    <x v="2"/>
    <n v="6"/>
    <n v="17000"/>
    <n v="102000"/>
    <n v="16000"/>
  </r>
  <r>
    <n v="1010"/>
    <x v="9"/>
    <x v="2"/>
    <x v="1"/>
    <x v="7"/>
    <x v="1"/>
    <x v="1"/>
    <x v="7"/>
    <n v="1"/>
    <n v="30000"/>
    <n v="30000"/>
    <n v="6000"/>
  </r>
  <r>
    <n v="1011"/>
    <x v="10"/>
    <x v="2"/>
    <x v="2"/>
    <x v="2"/>
    <x v="2"/>
    <x v="0"/>
    <x v="8"/>
    <n v="8"/>
    <n v="2500"/>
    <n v="20000"/>
    <n v="3500"/>
  </r>
  <r>
    <n v="1012"/>
    <x v="11"/>
    <x v="2"/>
    <x v="3"/>
    <x v="8"/>
    <x v="3"/>
    <x v="2"/>
    <x v="9"/>
    <n v="2"/>
    <n v="15000"/>
    <n v="30000"/>
    <n v="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1E4B47-807D-4875-AC51-91BAB203219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8">
  <location ref="A34:A35" firstHeaderRow="1" firstDataRow="1" firstDataCol="0"/>
  <pivotFields count="12">
    <pivotField showAll="0"/>
    <pivotField showAll="0">
      <items count="13">
        <item x="5"/>
        <item x="10"/>
        <item x="6"/>
        <item x="11"/>
        <item x="7"/>
        <item x="0"/>
        <item x="1"/>
        <item x="2"/>
        <item x="8"/>
        <item x="3"/>
        <item x="9"/>
        <item x="4"/>
        <item t="default"/>
      </items>
    </pivotField>
    <pivotField showAll="0">
      <items count="4">
        <item x="0"/>
        <item x="1"/>
        <item x="2"/>
        <item t="default"/>
      </items>
    </pivotField>
    <pivotField showAll="0">
      <items count="5">
        <item x="1"/>
        <item x="0"/>
        <item x="3"/>
        <item x="2"/>
        <item t="default"/>
      </items>
    </pivotField>
    <pivotField showAll="0">
      <items count="10">
        <item x="1"/>
        <item x="0"/>
        <item x="5"/>
        <item x="7"/>
        <item x="6"/>
        <item x="8"/>
        <item x="2"/>
        <item x="3"/>
        <item x="4"/>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Sum of Total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16CCF5-462D-4868-A82D-27F77B2CE125}"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7">
  <location ref="A56:B68" firstHeaderRow="1" firstDataRow="1" firstDataCol="1"/>
  <pivotFields count="12">
    <pivotField showAll="0"/>
    <pivotField showAll="0">
      <items count="13">
        <item x="5"/>
        <item x="10"/>
        <item x="6"/>
        <item x="11"/>
        <item x="7"/>
        <item x="0"/>
        <item x="1"/>
        <item x="2"/>
        <item x="8"/>
        <item x="3"/>
        <item x="9"/>
        <item x="4"/>
        <item t="default"/>
      </items>
    </pivotField>
    <pivotField showAll="0">
      <items count="4">
        <item x="0"/>
        <item x="1"/>
        <item x="2"/>
        <item t="default"/>
      </items>
    </pivotField>
    <pivotField showAll="0">
      <items count="5">
        <item x="1"/>
        <item x="0"/>
        <item x="3"/>
        <item x="2"/>
        <item t="default"/>
      </items>
    </pivotField>
    <pivotField showAll="0">
      <items count="10">
        <item x="1"/>
        <item x="0"/>
        <item x="5"/>
        <item x="7"/>
        <item x="6"/>
        <item x="8"/>
        <item x="2"/>
        <item x="3"/>
        <item x="4"/>
        <item t="default"/>
      </items>
    </pivotField>
    <pivotField axis="axisRow" showAll="0">
      <items count="5">
        <item x="1"/>
        <item x="3"/>
        <item x="2"/>
        <item x="0"/>
        <item t="default"/>
      </items>
    </pivotField>
    <pivotField axis="axisRow" showAll="0">
      <items count="4">
        <item x="0"/>
        <item x="1"/>
        <item x="2"/>
        <item t="default"/>
      </items>
    </pivotField>
    <pivotField showAll="0">
      <items count="11">
        <item x="1"/>
        <item x="8"/>
        <item x="0"/>
        <item x="2"/>
        <item x="9"/>
        <item x="3"/>
        <item x="6"/>
        <item x="7"/>
        <item x="4"/>
        <item x="5"/>
        <item t="default"/>
      </items>
    </pivotField>
    <pivotField showAll="0"/>
    <pivotField showAll="0"/>
    <pivotField dataField="1" showAll="0"/>
    <pivotField showAll="0"/>
  </pivotFields>
  <rowFields count="2">
    <field x="6"/>
    <field x="5"/>
  </rowFields>
  <rowItems count="12">
    <i>
      <x/>
    </i>
    <i r="1">
      <x/>
    </i>
    <i r="1">
      <x v="1"/>
    </i>
    <i r="1">
      <x v="2"/>
    </i>
    <i r="1">
      <x v="3"/>
    </i>
    <i>
      <x v="1"/>
    </i>
    <i r="1">
      <x/>
    </i>
    <i r="1">
      <x v="3"/>
    </i>
    <i>
      <x v="2"/>
    </i>
    <i r="1">
      <x v="1"/>
    </i>
    <i r="1">
      <x v="2"/>
    </i>
    <i t="grand">
      <x/>
    </i>
  </rowItems>
  <colItems count="1">
    <i/>
  </colItems>
  <dataFields count="1">
    <dataField name="Sum of Total Sales" fld="10" baseField="0" baseItem="0"/>
  </dataFields>
  <chartFormats count="1">
    <chartFormat chart="9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4E8C7A-8062-4610-833F-1763AA897381}"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0">
  <location ref="A41:B52" firstHeaderRow="1" firstDataRow="1" firstDataCol="1"/>
  <pivotFields count="12">
    <pivotField showAll="0"/>
    <pivotField showAll="0">
      <items count="13">
        <item x="5"/>
        <item x="10"/>
        <item x="6"/>
        <item x="11"/>
        <item x="7"/>
        <item x="0"/>
        <item x="1"/>
        <item x="2"/>
        <item x="8"/>
        <item x="3"/>
        <item x="9"/>
        <item x="4"/>
        <item t="default"/>
      </items>
    </pivotField>
    <pivotField showAll="0">
      <items count="4">
        <item x="0"/>
        <item x="1"/>
        <item x="2"/>
        <item t="default"/>
      </items>
    </pivotField>
    <pivotField showAll="0">
      <items count="5">
        <item x="1"/>
        <item x="0"/>
        <item x="3"/>
        <item x="2"/>
        <item t="default"/>
      </items>
    </pivotField>
    <pivotField showAll="0">
      <items count="10">
        <item x="1"/>
        <item x="0"/>
        <item x="5"/>
        <item x="7"/>
        <item x="6"/>
        <item x="8"/>
        <item x="2"/>
        <item x="3"/>
        <item x="4"/>
        <item t="default"/>
      </items>
    </pivotField>
    <pivotField showAll="0"/>
    <pivotField showAll="0"/>
    <pivotField axis="axisRow" showAll="0">
      <items count="11">
        <item x="1"/>
        <item x="8"/>
        <item x="0"/>
        <item x="2"/>
        <item x="9"/>
        <item x="3"/>
        <item x="6"/>
        <item x="7"/>
        <item x="4"/>
        <item x="5"/>
        <item t="default"/>
      </items>
    </pivotField>
    <pivotField showAll="0"/>
    <pivotField showAll="0"/>
    <pivotField dataField="1" showAll="0"/>
    <pivotField showAll="0"/>
  </pivotFields>
  <rowFields count="1">
    <field x="7"/>
  </rowFields>
  <rowItems count="11">
    <i>
      <x/>
    </i>
    <i>
      <x v="1"/>
    </i>
    <i>
      <x v="2"/>
    </i>
    <i>
      <x v="3"/>
    </i>
    <i>
      <x v="4"/>
    </i>
    <i>
      <x v="5"/>
    </i>
    <i>
      <x v="6"/>
    </i>
    <i>
      <x v="7"/>
    </i>
    <i>
      <x v="8"/>
    </i>
    <i>
      <x v="9"/>
    </i>
    <i t="grand">
      <x/>
    </i>
  </rowItems>
  <colItems count="1">
    <i/>
  </colItems>
  <dataFields count="1">
    <dataField name="Sum of Total Sales" fld="10" baseField="0" baseItem="0"/>
  </dataFields>
  <chartFormats count="4">
    <chartFormat chart="45" format="2" series="1">
      <pivotArea type="data" outline="0" fieldPosition="0">
        <references count="1">
          <reference field="4294967294" count="1" selected="0">
            <x v="0"/>
          </reference>
        </references>
      </pivotArea>
    </chartFormat>
    <chartFormat chart="45" format="3">
      <pivotArea type="data" outline="0" fieldPosition="0">
        <references count="2">
          <reference field="4294967294" count="1" selected="0">
            <x v="0"/>
          </reference>
          <reference field="7" count="1" selected="0">
            <x v="3"/>
          </reference>
        </references>
      </pivotArea>
    </chartFormat>
    <chartFormat chart="45" format="4">
      <pivotArea type="data" outline="0" fieldPosition="0">
        <references count="2">
          <reference field="4294967294" count="1" selected="0">
            <x v="0"/>
          </reference>
          <reference field="7" count="1" selected="0">
            <x v="2"/>
          </reference>
        </references>
      </pivotArea>
    </chartFormat>
    <chartFormat chart="45" format="5">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9F25D1-DDBC-4C37-A513-84B468E87033}"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8" firstHeaderRow="1" firstDataRow="1" firstDataCol="1"/>
  <pivotFields count="12">
    <pivotField showAll="0"/>
    <pivotField showAll="0">
      <items count="13">
        <item x="5"/>
        <item x="10"/>
        <item x="6"/>
        <item x="11"/>
        <item x="7"/>
        <item x="0"/>
        <item x="1"/>
        <item x="2"/>
        <item x="8"/>
        <item x="3"/>
        <item x="9"/>
        <item x="4"/>
        <item t="default"/>
      </items>
    </pivotField>
    <pivotField showAll="0">
      <items count="4">
        <item x="0"/>
        <item x="1"/>
        <item x="2"/>
        <item t="default"/>
      </items>
    </pivotField>
    <pivotField axis="axisRow" showAll="0">
      <items count="5">
        <item x="1"/>
        <item x="0"/>
        <item x="3"/>
        <item x="2"/>
        <item t="default"/>
      </items>
    </pivotField>
    <pivotField showAll="0">
      <items count="10">
        <item x="1"/>
        <item x="0"/>
        <item x="5"/>
        <item x="7"/>
        <item x="6"/>
        <item x="8"/>
        <item x="2"/>
        <item x="3"/>
        <item x="4"/>
        <item t="default"/>
      </items>
    </pivotField>
    <pivotField showAll="0"/>
    <pivotField showAll="0"/>
    <pivotField showAll="0"/>
    <pivotField showAll="0"/>
    <pivotField showAll="0"/>
    <pivotField dataField="1" showAll="0"/>
    <pivotField showAll="0"/>
  </pivotFields>
  <rowFields count="1">
    <field x="3"/>
  </rowFields>
  <rowItems count="5">
    <i>
      <x/>
    </i>
    <i>
      <x v="1"/>
    </i>
    <i>
      <x v="2"/>
    </i>
    <i>
      <x v="3"/>
    </i>
    <i t="grand">
      <x/>
    </i>
  </rowItems>
  <colItems count="1">
    <i/>
  </colItems>
  <dataFields count="1">
    <dataField name="Sum of Total Sales" fld="10" baseField="0" baseItem="0"/>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0"/>
          </reference>
        </references>
      </pivotArea>
    </chartFormat>
    <chartFormat chart="3" format="4">
      <pivotArea type="data" outline="0" fieldPosition="0">
        <references count="2">
          <reference field="4294967294" count="1" selected="0">
            <x v="0"/>
          </reference>
          <reference field="3" count="1" selected="0">
            <x v="1"/>
          </reference>
        </references>
      </pivotArea>
    </chartFormat>
    <chartFormat chart="3" format="5">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396D00-424D-47BC-80A5-4EB9D53D7F9B}"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2">
  <location ref="A16:B29" firstHeaderRow="1" firstDataRow="1" firstDataCol="1"/>
  <pivotFields count="12">
    <pivotField showAll="0"/>
    <pivotField axis="axisRow" showAll="0">
      <items count="13">
        <item x="5"/>
        <item x="10"/>
        <item x="6"/>
        <item x="11"/>
        <item x="7"/>
        <item x="0"/>
        <item x="1"/>
        <item x="2"/>
        <item x="8"/>
        <item x="3"/>
        <item x="9"/>
        <item x="4"/>
        <item t="default"/>
      </items>
    </pivotField>
    <pivotField showAll="0">
      <items count="4">
        <item x="0"/>
        <item x="1"/>
        <item x="2"/>
        <item t="default"/>
      </items>
    </pivotField>
    <pivotField showAll="0">
      <items count="5">
        <item x="1"/>
        <item x="0"/>
        <item x="3"/>
        <item x="2"/>
        <item t="default"/>
      </items>
    </pivotField>
    <pivotField showAll="0">
      <items count="10">
        <item x="1"/>
        <item x="0"/>
        <item x="5"/>
        <item x="7"/>
        <item x="6"/>
        <item x="8"/>
        <item x="2"/>
        <item x="3"/>
        <item x="4"/>
        <item t="default"/>
      </items>
    </pivotField>
    <pivotField showAll="0"/>
    <pivotField showAll="0"/>
    <pivotField showAll="0"/>
    <pivotField showAll="0"/>
    <pivotField showAll="0"/>
    <pivotField dataField="1"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Total Sales" fld="10" baseField="0" baseItem="0"/>
  </dataFields>
  <chartFormats count="3">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3F6F91-1D78-41B1-8A24-B5FDE6EECEE5}"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8">
  <location ref="A37:A38" firstHeaderRow="1" firstDataRow="1" firstDataCol="0"/>
  <pivotFields count="12">
    <pivotField showAll="0"/>
    <pivotField showAll="0">
      <items count="13">
        <item x="5"/>
        <item x="10"/>
        <item x="6"/>
        <item x="11"/>
        <item x="7"/>
        <item x="0"/>
        <item x="1"/>
        <item x="2"/>
        <item x="8"/>
        <item x="3"/>
        <item x="9"/>
        <item x="4"/>
        <item t="default"/>
      </items>
    </pivotField>
    <pivotField showAll="0">
      <items count="4">
        <item x="0"/>
        <item x="1"/>
        <item x="2"/>
        <item t="default"/>
      </items>
    </pivotField>
    <pivotField showAll="0">
      <items count="5">
        <item x="1"/>
        <item x="0"/>
        <item x="3"/>
        <item x="2"/>
        <item t="default"/>
      </items>
    </pivotField>
    <pivotField showAll="0">
      <items count="10">
        <item x="1"/>
        <item x="0"/>
        <item x="5"/>
        <item x="7"/>
        <item x="6"/>
        <item x="8"/>
        <item x="2"/>
        <item x="3"/>
        <item x="4"/>
        <item t="default"/>
      </items>
    </pivotField>
    <pivotField showAll="0"/>
    <pivotField showAll="0"/>
    <pivotField showAll="0"/>
    <pivotField showAll="0"/>
    <pivotField showAll="0"/>
    <pivotField showAll="0"/>
    <pivotField dataField="1" showAll="0"/>
  </pivotFields>
  <rowItems count="1">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1DA57E-041D-422A-9A01-30B955635A0E}"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10:B14" firstHeaderRow="1" firstDataRow="1" firstDataCol="1"/>
  <pivotFields count="12">
    <pivotField showAll="0"/>
    <pivotField showAll="0">
      <items count="13">
        <item x="5"/>
        <item x="10"/>
        <item x="6"/>
        <item x="11"/>
        <item x="7"/>
        <item x="0"/>
        <item x="1"/>
        <item x="2"/>
        <item x="8"/>
        <item x="3"/>
        <item x="9"/>
        <item x="4"/>
        <item t="default"/>
      </items>
    </pivotField>
    <pivotField axis="axisRow" showAll="0">
      <items count="4">
        <item x="0"/>
        <item x="1"/>
        <item x="2"/>
        <item t="default"/>
      </items>
    </pivotField>
    <pivotField showAll="0">
      <items count="5">
        <item x="1"/>
        <item x="0"/>
        <item x="3"/>
        <item x="2"/>
        <item t="default"/>
      </items>
    </pivotField>
    <pivotField showAll="0">
      <items count="10">
        <item x="1"/>
        <item x="0"/>
        <item x="5"/>
        <item x="7"/>
        <item x="6"/>
        <item x="8"/>
        <item x="2"/>
        <item x="3"/>
        <item x="4"/>
        <item t="default"/>
      </items>
    </pivotField>
    <pivotField showAll="0"/>
    <pivotField showAll="0"/>
    <pivotField showAll="0"/>
    <pivotField showAll="0"/>
    <pivotField showAll="0"/>
    <pivotField dataField="1" showAll="0"/>
    <pivotField showAll="0"/>
  </pivotFields>
  <rowFields count="1">
    <field x="2"/>
  </rowFields>
  <rowItems count="4">
    <i>
      <x/>
    </i>
    <i>
      <x v="1"/>
    </i>
    <i>
      <x v="2"/>
    </i>
    <i t="grand">
      <x/>
    </i>
  </rowItems>
  <colItems count="1">
    <i/>
  </colItems>
  <dataFields count="1">
    <dataField name="Sum of Total Sales" fld="10" baseField="0" baseItem="0"/>
  </dataFields>
  <chartFormats count="12">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2" count="1" selected="0">
            <x v="0"/>
          </reference>
        </references>
      </pivotArea>
    </chartFormat>
    <chartFormat chart="8" format="7">
      <pivotArea type="data" outline="0" fieldPosition="0">
        <references count="2">
          <reference field="4294967294" count="1" selected="0">
            <x v="0"/>
          </reference>
          <reference field="2" count="1" selected="0">
            <x v="1"/>
          </reference>
        </references>
      </pivotArea>
    </chartFormat>
    <chartFormat chart="8" format="8">
      <pivotArea type="data" outline="0" fieldPosition="0">
        <references count="2">
          <reference field="4294967294" count="1" selected="0">
            <x v="0"/>
          </reference>
          <reference field="2" count="1" selected="0">
            <x v="2"/>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2" count="1" selected="0">
            <x v="0"/>
          </reference>
        </references>
      </pivotArea>
    </chartFormat>
    <chartFormat chart="12" format="3">
      <pivotArea type="data" outline="0" fieldPosition="0">
        <references count="2">
          <reference field="4294967294" count="1" selected="0">
            <x v="0"/>
          </reference>
          <reference field="2" count="1" selected="0">
            <x v="1"/>
          </reference>
        </references>
      </pivotArea>
    </chartFormat>
    <chartFormat chart="12" format="4">
      <pivotArea type="data" outline="0" fieldPosition="0">
        <references count="2">
          <reference field="4294967294" count="1" selected="0">
            <x v="0"/>
          </reference>
          <reference field="2" count="1" selected="0">
            <x v="2"/>
          </reference>
        </references>
      </pivotArea>
    </chartFormat>
    <chartFormat chart="13" format="17" series="1">
      <pivotArea type="data" outline="0" fieldPosition="0">
        <references count="1">
          <reference field="4294967294" count="1" selected="0">
            <x v="0"/>
          </reference>
        </references>
      </pivotArea>
    </chartFormat>
    <chartFormat chart="13" format="18">
      <pivotArea type="data" outline="0" fieldPosition="0">
        <references count="2">
          <reference field="4294967294" count="1" selected="0">
            <x v="0"/>
          </reference>
          <reference field="2" count="1" selected="0">
            <x v="0"/>
          </reference>
        </references>
      </pivotArea>
    </chartFormat>
    <chartFormat chart="13" format="19">
      <pivotArea type="data" outline="0" fieldPosition="0">
        <references count="2">
          <reference field="4294967294" count="1" selected="0">
            <x v="0"/>
          </reference>
          <reference field="2" count="1" selected="0">
            <x v="1"/>
          </reference>
        </references>
      </pivotArea>
    </chartFormat>
    <chartFormat chart="13" format="20">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1F5FA808-324B-4062-9545-42D7513E3AF1}" sourceName="Order Date">
  <pivotTables>
    <pivotTable tabId="4" name="PivotTable1"/>
    <pivotTable tabId="4" name="PivotTable2"/>
    <pivotTable tabId="4" name="PivotTable3"/>
    <pivotTable tabId="4" name="PivotTable5"/>
    <pivotTable tabId="4" name="PivotTable6"/>
    <pivotTable tabId="4" name="PivotTable7"/>
    <pivotTable tabId="4" name="PivotTable4"/>
  </pivotTables>
  <data>
    <tabular pivotCacheId="149690710">
      <items count="12">
        <i x="5" s="1"/>
        <i x="10" s="1"/>
        <i x="6" s="1"/>
        <i x="11" s="1"/>
        <i x="7" s="1"/>
        <i x="0" s="1"/>
        <i x="1" s="1"/>
        <i x="2" s="1"/>
        <i x="8" s="1"/>
        <i x="3" s="1"/>
        <i x="9"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46BEE4D-589C-4AD7-8C2C-058BC31F83A9}" sourceName="Region">
  <pivotTables>
    <pivotTable tabId="4" name="PivotTable1"/>
    <pivotTable tabId="4" name="PivotTable2"/>
    <pivotTable tabId="4" name="PivotTable3"/>
    <pivotTable tabId="4" name="PivotTable5"/>
    <pivotTable tabId="4" name="PivotTable6"/>
    <pivotTable tabId="4" name="PivotTable7"/>
    <pivotTable tabId="4" name="PivotTable4"/>
  </pivotTables>
  <data>
    <tabular pivotCacheId="149690710">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F85C1AD-EC19-4561-94E4-7A410547509C}" sourceName="Month">
  <pivotTables>
    <pivotTable tabId="4" name="PivotTable1"/>
    <pivotTable tabId="4" name="PivotTable2"/>
    <pivotTable tabId="4" name="PivotTable3"/>
    <pivotTable tabId="4" name="PivotTable5"/>
    <pivotTable tabId="4" name="PivotTable6"/>
    <pivotTable tabId="4" name="PivotTable7"/>
    <pivotTable tabId="4" name="PivotTable4"/>
  </pivotTables>
  <data>
    <tabular pivotCacheId="14969071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0F2D6BA-9447-43A2-951E-EA98F1F7B45B}" sourceName="State">
  <pivotTables>
    <pivotTable tabId="4" name="PivotTable1"/>
    <pivotTable tabId="4" name="PivotTable2"/>
    <pivotTable tabId="4" name="PivotTable3"/>
    <pivotTable tabId="4" name="PivotTable5"/>
    <pivotTable tabId="4" name="PivotTable6"/>
    <pivotTable tabId="4" name="PivotTable7"/>
    <pivotTable tabId="4" name="PivotTable4"/>
  </pivotTables>
  <data>
    <tabular pivotCacheId="149690710">
      <items count="9">
        <i x="1" s="1"/>
        <i x="0" s="1"/>
        <i x="5" s="1"/>
        <i x="7" s="1"/>
        <i x="6" s="1"/>
        <i x="8" s="1"/>
        <i x="2"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23B62E46-8FB6-4809-A9E6-B9D8826CAF74}" sourceName="Product Name">
  <pivotTables>
    <pivotTable tabId="4" name="PivotTable7"/>
    <pivotTable tabId="4" name="PivotTable4"/>
  </pivotTables>
  <data>
    <tabular pivotCacheId="149690710">
      <items count="10">
        <i x="1" s="1"/>
        <i x="8" s="1"/>
        <i x="0" s="1"/>
        <i x="2" s="1"/>
        <i x="9" s="1"/>
        <i x="3" s="1"/>
        <i x="6" s="1"/>
        <i x="7"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E7A4D3E3-856D-4ECF-9DDC-92E2A5AF960E}" cache="Slicer_Product_Name" caption="Product 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1" xr10:uid="{3CADAC2B-BA80-4A01-94F8-020B0D9ABAC2}" cache="Slicer_Order_Date" caption="Order Date" startItem="2" columnCount="2" rowHeight="241300"/>
  <slicer name="Region 1" xr10:uid="{936F21F5-9438-4C87-AC75-2317418529F4}" cache="Slicer_Region" caption="Region" rowHeight="182880"/>
  <slicer name="Month 1" xr10:uid="{0B5BA102-AB60-4F1A-9084-01B2CB23CB8C}" cache="Slicer_Month" caption="Month" rowHeight="457200"/>
  <slicer name="State 1" xr10:uid="{EB72BFE7-4B74-47DF-8E2F-3CAFB84282F9}" cache="Slicer_State" caption="State" columnCount="9" rowHeight="182880"/>
  <slicer name="Product Name 1" xr10:uid="{86FF6B6E-D867-4C1F-B9C6-E99869522E97}" cache="Slicer_Product_Name" caption="Product Name" startItem="2" rowHeight="241300"/>
</slicers>
</file>

<file path=xl/theme/theme1.xml><?xml version="1.0" encoding="utf-8"?>
<a:theme xmlns:a="http://schemas.openxmlformats.org/drawingml/2006/main" name="View">
  <a:themeElements>
    <a:clrScheme name="Custom 1">
      <a:dk1>
        <a:srgbClr val="000000"/>
      </a:dk1>
      <a:lt1>
        <a:sysClr val="window" lastClr="FFFFFF"/>
      </a:lt1>
      <a:dk2>
        <a:srgbClr val="002060"/>
      </a:dk2>
      <a:lt2>
        <a:srgbClr val="E9E5DC"/>
      </a:lt2>
      <a:accent1>
        <a:srgbClr val="0070C0"/>
      </a:accent1>
      <a:accent2>
        <a:srgbClr val="000000"/>
      </a:accent2>
      <a:accent3>
        <a:srgbClr val="FF0000"/>
      </a:accent3>
      <a:accent4>
        <a:srgbClr val="002060"/>
      </a:accent4>
      <a:accent5>
        <a:srgbClr val="9E3511"/>
      </a:accent5>
      <a:accent6>
        <a:srgbClr val="FF0000"/>
      </a:accent6>
      <a:hlink>
        <a:srgbClr val="002060"/>
      </a:hlink>
      <a:folHlink>
        <a:srgbClr val="FF0000"/>
      </a:folHlink>
    </a:clrScheme>
    <a:fontScheme name="Arial Black-Arial">
      <a:majorFont>
        <a:latin typeface="Arial Black" panose="020B0A04020102020204"/>
        <a:ea typeface=""/>
        <a:cs typeface=""/>
        <a:font script="Jpan" typeface="ＭＳ ゴシック"/>
        <a:font script="Hang" typeface="굴림"/>
        <a:font script="Hans" typeface="微软雅黑"/>
        <a:font script="Hant" typeface="微軟正黑體"/>
        <a:font script="Arab" typeface="Tahoma"/>
        <a:font script="Hebr" typeface="Tahoma"/>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View">
      <a:fillStyleLst>
        <a:solidFill>
          <a:schemeClr val="phClr"/>
        </a:solidFill>
        <a:solidFill>
          <a:schemeClr val="phClr">
            <a:tint val="60000"/>
            <a:satMod val="120000"/>
          </a:schemeClr>
        </a:solidFill>
        <a:solidFill>
          <a:schemeClr val="phClr">
            <a:shade val="75000"/>
            <a:satMod val="160000"/>
          </a:schemeClr>
        </a:solidFill>
      </a:fillStyleLst>
      <a:lnStyleLst>
        <a:ln w="9525" cap="flat" cmpd="sng" algn="ctr">
          <a:solidFill>
            <a:schemeClr val="phClr"/>
          </a:solidFill>
          <a:prstDash val="solid"/>
        </a:ln>
        <a:ln w="13970" cap="flat" cmpd="sng" algn="ctr">
          <a:solidFill>
            <a:schemeClr val="phClr"/>
          </a:solidFill>
          <a:prstDash val="solid"/>
        </a:ln>
        <a:ln w="17145" cap="flat" cmpd="sng" algn="ctr">
          <a:solidFill>
            <a:schemeClr val="phClr">
              <a:shade val="95000"/>
              <a:alpha val="95000"/>
              <a:satMod val="150000"/>
            </a:schemeClr>
          </a:solidFill>
          <a:prstDash val="solid"/>
        </a:ln>
      </a:lnStyleLst>
      <a:effectStyleLst>
        <a:effectStyle>
          <a:effectLst/>
        </a:effectStyle>
        <a:effectStyle>
          <a:effectLst>
            <a:outerShdw blurRad="50800" dist="15240" dir="5400000" algn="tl" rotWithShape="0">
              <a:srgbClr val="000000">
                <a:alpha val="75000"/>
              </a:srgbClr>
            </a:outerShdw>
          </a:effectLst>
          <a:scene3d>
            <a:camera prst="orthographicFront">
              <a:rot lat="0" lon="0" rev="0"/>
            </a:camera>
            <a:lightRig rig="brightRoom" dir="tl"/>
          </a:scene3d>
          <a:sp3d contourW="9525" prstMaterial="flat">
            <a:bevelT w="0" h="0" prst="coolSlant"/>
            <a:contourClr>
              <a:schemeClr val="phClr">
                <a:shade val="35000"/>
                <a:satMod val="130000"/>
              </a:schemeClr>
            </a:contourClr>
          </a:sp3d>
        </a:effectStyle>
        <a:effectStyle>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hemeClr val="phClr">
                <a:shade val="25000"/>
                <a:satMod val="140000"/>
              </a:schemeClr>
            </a:contourClr>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F4CA5-F4D2-46DE-A946-374BAF61006C}">
  <dimension ref="A3:C68"/>
  <sheetViews>
    <sheetView topLeftCell="A28" workbookViewId="0">
      <selection activeCell="A16" sqref="A16"/>
    </sheetView>
  </sheetViews>
  <sheetFormatPr defaultRowHeight="14.25" x14ac:dyDescent="0.2"/>
  <cols>
    <col min="1" max="1" width="16.375" bestFit="1" customWidth="1"/>
    <col min="2" max="2" width="17.625" bestFit="1" customWidth="1"/>
    <col min="3" max="3" width="15.75" customWidth="1"/>
  </cols>
  <sheetData>
    <row r="3" spans="1:3" x14ac:dyDescent="0.2">
      <c r="A3" s="12" t="s">
        <v>50</v>
      </c>
      <c r="B3" t="s">
        <v>52</v>
      </c>
    </row>
    <row r="4" spans="1:3" x14ac:dyDescent="0.2">
      <c r="A4" s="13" t="s">
        <v>18</v>
      </c>
      <c r="B4" s="15">
        <v>125000</v>
      </c>
    </row>
    <row r="5" spans="1:3" x14ac:dyDescent="0.2">
      <c r="A5" s="13" t="s">
        <v>13</v>
      </c>
      <c r="B5" s="15">
        <v>216000</v>
      </c>
    </row>
    <row r="6" spans="1:3" x14ac:dyDescent="0.2">
      <c r="A6" s="13" t="s">
        <v>27</v>
      </c>
      <c r="B6" s="15">
        <v>92000</v>
      </c>
    </row>
    <row r="7" spans="1:3" x14ac:dyDescent="0.2">
      <c r="A7" s="13" t="s">
        <v>23</v>
      </c>
      <c r="B7" s="15">
        <v>128000</v>
      </c>
    </row>
    <row r="8" spans="1:3" x14ac:dyDescent="0.2">
      <c r="A8" s="13" t="s">
        <v>51</v>
      </c>
      <c r="B8" s="15">
        <v>561000</v>
      </c>
    </row>
    <row r="10" spans="1:3" x14ac:dyDescent="0.2">
      <c r="A10" s="12" t="s">
        <v>50</v>
      </c>
      <c r="B10" t="s">
        <v>52</v>
      </c>
    </row>
    <row r="11" spans="1:3" x14ac:dyDescent="0.2">
      <c r="A11" s="13" t="s">
        <v>12</v>
      </c>
      <c r="B11" s="15">
        <v>207000</v>
      </c>
    </row>
    <row r="12" spans="1:3" x14ac:dyDescent="0.2">
      <c r="A12" s="13" t="s">
        <v>32</v>
      </c>
      <c r="B12" s="15">
        <v>172000</v>
      </c>
    </row>
    <row r="13" spans="1:3" x14ac:dyDescent="0.2">
      <c r="A13" s="13" t="s">
        <v>42</v>
      </c>
      <c r="B13" s="15">
        <v>182000</v>
      </c>
    </row>
    <row r="14" spans="1:3" x14ac:dyDescent="0.2">
      <c r="A14" s="13" t="s">
        <v>51</v>
      </c>
      <c r="B14" s="15">
        <v>561000</v>
      </c>
    </row>
    <row r="16" spans="1:3" x14ac:dyDescent="0.2">
      <c r="A16" s="12" t="s">
        <v>50</v>
      </c>
      <c r="B16" t="s">
        <v>52</v>
      </c>
      <c r="C16" s="12"/>
    </row>
    <row r="17" spans="1:2" x14ac:dyDescent="0.2">
      <c r="A17" s="13" t="s">
        <v>35</v>
      </c>
      <c r="B17" s="15">
        <v>80000</v>
      </c>
    </row>
    <row r="18" spans="1:2" x14ac:dyDescent="0.2">
      <c r="A18" s="13" t="s">
        <v>45</v>
      </c>
      <c r="B18" s="15">
        <v>20000</v>
      </c>
    </row>
    <row r="19" spans="1:2" x14ac:dyDescent="0.2">
      <c r="A19" s="13" t="s">
        <v>37</v>
      </c>
      <c r="B19" s="15">
        <v>18000</v>
      </c>
    </row>
    <row r="20" spans="1:2" x14ac:dyDescent="0.2">
      <c r="A20" s="13" t="s">
        <v>47</v>
      </c>
      <c r="B20" s="15">
        <v>30000</v>
      </c>
    </row>
    <row r="21" spans="1:2" x14ac:dyDescent="0.2">
      <c r="A21" s="13" t="s">
        <v>40</v>
      </c>
      <c r="B21" s="15">
        <v>50000</v>
      </c>
    </row>
    <row r="22" spans="1:2" x14ac:dyDescent="0.2">
      <c r="A22" s="14">
        <v>45292</v>
      </c>
      <c r="B22" s="15">
        <v>90000</v>
      </c>
    </row>
    <row r="23" spans="1:2" x14ac:dyDescent="0.2">
      <c r="A23" s="14">
        <v>45352</v>
      </c>
      <c r="B23" s="15">
        <v>15000</v>
      </c>
    </row>
    <row r="24" spans="1:2" x14ac:dyDescent="0.2">
      <c r="A24" s="14">
        <v>45413</v>
      </c>
      <c r="B24" s="15">
        <v>90000</v>
      </c>
    </row>
    <row r="25" spans="1:2" x14ac:dyDescent="0.2">
      <c r="A25" s="14">
        <v>45415</v>
      </c>
      <c r="B25" s="15">
        <v>102000</v>
      </c>
    </row>
    <row r="26" spans="1:2" x14ac:dyDescent="0.2">
      <c r="A26" s="14">
        <v>45505</v>
      </c>
      <c r="B26" s="15">
        <v>12000</v>
      </c>
    </row>
    <row r="27" spans="1:2" x14ac:dyDescent="0.2">
      <c r="A27" s="14">
        <v>45568</v>
      </c>
      <c r="B27" s="15">
        <v>30000</v>
      </c>
    </row>
    <row r="28" spans="1:2" x14ac:dyDescent="0.2">
      <c r="A28" s="14">
        <v>45628</v>
      </c>
      <c r="B28" s="15">
        <v>24000</v>
      </c>
    </row>
    <row r="29" spans="1:2" x14ac:dyDescent="0.2">
      <c r="A29" s="13" t="s">
        <v>51</v>
      </c>
      <c r="B29" s="15">
        <v>561000</v>
      </c>
    </row>
    <row r="34" spans="1:2" x14ac:dyDescent="0.2">
      <c r="A34" t="s">
        <v>52</v>
      </c>
    </row>
    <row r="35" spans="1:2" x14ac:dyDescent="0.2">
      <c r="A35" s="15">
        <v>561000</v>
      </c>
      <c r="B35" s="16">
        <f>GETPIVOTDATA("Total Sales",$A$34)</f>
        <v>561000</v>
      </c>
    </row>
    <row r="37" spans="1:2" x14ac:dyDescent="0.2">
      <c r="A37" t="s">
        <v>53</v>
      </c>
    </row>
    <row r="38" spans="1:2" x14ac:dyDescent="0.2">
      <c r="A38" s="15">
        <v>87000</v>
      </c>
      <c r="B38">
        <f>GETPIVOTDATA("Profit",$A$37)</f>
        <v>87000</v>
      </c>
    </row>
    <row r="41" spans="1:2" x14ac:dyDescent="0.2">
      <c r="A41" s="12" t="s">
        <v>50</v>
      </c>
      <c r="B41" t="s">
        <v>52</v>
      </c>
    </row>
    <row r="42" spans="1:2" x14ac:dyDescent="0.2">
      <c r="A42" s="13" t="s">
        <v>22</v>
      </c>
      <c r="B42" s="15">
        <v>15000</v>
      </c>
    </row>
    <row r="43" spans="1:2" x14ac:dyDescent="0.2">
      <c r="A43" s="13" t="s">
        <v>46</v>
      </c>
      <c r="B43" s="15">
        <v>20000</v>
      </c>
    </row>
    <row r="44" spans="1:2" x14ac:dyDescent="0.2">
      <c r="A44" s="13" t="s">
        <v>17</v>
      </c>
      <c r="B44" s="15">
        <v>140000</v>
      </c>
    </row>
    <row r="45" spans="1:2" x14ac:dyDescent="0.2">
      <c r="A45" s="13" t="s">
        <v>26</v>
      </c>
      <c r="B45" s="15">
        <v>192000</v>
      </c>
    </row>
    <row r="46" spans="1:2" x14ac:dyDescent="0.2">
      <c r="A46" s="13" t="s">
        <v>49</v>
      </c>
      <c r="B46" s="15">
        <v>30000</v>
      </c>
    </row>
    <row r="47" spans="1:2" x14ac:dyDescent="0.2">
      <c r="A47" s="13" t="s">
        <v>31</v>
      </c>
      <c r="B47" s="15">
        <v>12000</v>
      </c>
    </row>
    <row r="48" spans="1:2" x14ac:dyDescent="0.2">
      <c r="A48" s="13" t="s">
        <v>39</v>
      </c>
      <c r="B48" s="15">
        <v>18000</v>
      </c>
    </row>
    <row r="49" spans="1:2" x14ac:dyDescent="0.2">
      <c r="A49" s="13" t="s">
        <v>44</v>
      </c>
      <c r="B49" s="15">
        <v>30000</v>
      </c>
    </row>
    <row r="50" spans="1:2" x14ac:dyDescent="0.2">
      <c r="A50" s="13" t="s">
        <v>34</v>
      </c>
      <c r="B50" s="15">
        <v>24000</v>
      </c>
    </row>
    <row r="51" spans="1:2" x14ac:dyDescent="0.2">
      <c r="A51" s="13" t="s">
        <v>36</v>
      </c>
      <c r="B51" s="15">
        <v>80000</v>
      </c>
    </row>
    <row r="52" spans="1:2" x14ac:dyDescent="0.2">
      <c r="A52" s="13" t="s">
        <v>51</v>
      </c>
      <c r="B52" s="15">
        <v>561000</v>
      </c>
    </row>
    <row r="56" spans="1:2" x14ac:dyDescent="0.2">
      <c r="A56" s="12" t="s">
        <v>50</v>
      </c>
      <c r="B56" t="s">
        <v>52</v>
      </c>
    </row>
    <row r="57" spans="1:2" x14ac:dyDescent="0.2">
      <c r="A57" s="13" t="s">
        <v>16</v>
      </c>
      <c r="B57" s="15">
        <v>432000</v>
      </c>
    </row>
    <row r="58" spans="1:2" x14ac:dyDescent="0.2">
      <c r="A58" s="17" t="s">
        <v>20</v>
      </c>
      <c r="B58" s="15">
        <v>80000</v>
      </c>
    </row>
    <row r="59" spans="1:2" x14ac:dyDescent="0.2">
      <c r="A59" s="17" t="s">
        <v>29</v>
      </c>
      <c r="B59" s="15">
        <v>50000</v>
      </c>
    </row>
    <row r="60" spans="1:2" x14ac:dyDescent="0.2">
      <c r="A60" s="17" t="s">
        <v>25</v>
      </c>
      <c r="B60" s="15">
        <v>110000</v>
      </c>
    </row>
    <row r="61" spans="1:2" x14ac:dyDescent="0.2">
      <c r="A61" s="17" t="s">
        <v>15</v>
      </c>
      <c r="B61" s="15">
        <v>192000</v>
      </c>
    </row>
    <row r="62" spans="1:2" x14ac:dyDescent="0.2">
      <c r="A62" s="13" t="s">
        <v>21</v>
      </c>
      <c r="B62" s="15">
        <v>69000</v>
      </c>
    </row>
    <row r="63" spans="1:2" x14ac:dyDescent="0.2">
      <c r="A63" s="17" t="s">
        <v>20</v>
      </c>
      <c r="B63" s="15">
        <v>45000</v>
      </c>
    </row>
    <row r="64" spans="1:2" x14ac:dyDescent="0.2">
      <c r="A64" s="17" t="s">
        <v>15</v>
      </c>
      <c r="B64" s="15">
        <v>24000</v>
      </c>
    </row>
    <row r="65" spans="1:2" x14ac:dyDescent="0.2">
      <c r="A65" s="13" t="s">
        <v>30</v>
      </c>
      <c r="B65" s="15">
        <v>60000</v>
      </c>
    </row>
    <row r="66" spans="1:2" x14ac:dyDescent="0.2">
      <c r="A66" s="17" t="s">
        <v>29</v>
      </c>
      <c r="B66" s="15">
        <v>42000</v>
      </c>
    </row>
    <row r="67" spans="1:2" x14ac:dyDescent="0.2">
      <c r="A67" s="17" t="s">
        <v>25</v>
      </c>
      <c r="B67" s="15">
        <v>18000</v>
      </c>
    </row>
    <row r="68" spans="1:2" x14ac:dyDescent="0.2">
      <c r="A68" s="13" t="s">
        <v>51</v>
      </c>
      <c r="B68" s="15">
        <v>561000</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DD385-1AC6-41CC-ABFB-60A3F2E7FF88}">
  <dimension ref="A1"/>
  <sheetViews>
    <sheetView tabSelected="1" zoomScale="97" zoomScaleNormal="97" workbookViewId="0">
      <selection activeCell="P38" sqref="P38"/>
    </sheetView>
  </sheetViews>
  <sheetFormatPr defaultRowHeight="14.25" x14ac:dyDescent="0.2"/>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15B2E-D78F-48D5-8D1C-F524F8ADD4E0}">
  <dimension ref="A1:L13"/>
  <sheetViews>
    <sheetView workbookViewId="0">
      <selection activeCell="D20" sqref="D20"/>
    </sheetView>
  </sheetViews>
  <sheetFormatPr defaultRowHeight="14.25" x14ac:dyDescent="0.2"/>
  <cols>
    <col min="1" max="12" width="14.5" style="1" customWidth="1"/>
  </cols>
  <sheetData>
    <row r="1" spans="1:12" ht="15" x14ac:dyDescent="0.25">
      <c r="A1" s="9" t="s">
        <v>0</v>
      </c>
      <c r="B1" s="10" t="s">
        <v>1</v>
      </c>
      <c r="C1" s="10" t="s">
        <v>2</v>
      </c>
      <c r="D1" s="10" t="s">
        <v>3</v>
      </c>
      <c r="E1" s="10" t="s">
        <v>4</v>
      </c>
      <c r="F1" s="10" t="s">
        <v>5</v>
      </c>
      <c r="G1" s="10" t="s">
        <v>6</v>
      </c>
      <c r="H1" s="10" t="s">
        <v>7</v>
      </c>
      <c r="I1" s="10" t="s">
        <v>8</v>
      </c>
      <c r="J1" s="10" t="s">
        <v>9</v>
      </c>
      <c r="K1" s="10" t="s">
        <v>10</v>
      </c>
      <c r="L1" s="11" t="s">
        <v>11</v>
      </c>
    </row>
    <row r="2" spans="1:12" x14ac:dyDescent="0.2">
      <c r="A2" s="4">
        <v>1001</v>
      </c>
      <c r="B2" s="3">
        <v>45292</v>
      </c>
      <c r="C2" s="2" t="s">
        <v>12</v>
      </c>
      <c r="D2" s="2" t="s">
        <v>13</v>
      </c>
      <c r="E2" s="2" t="s">
        <v>14</v>
      </c>
      <c r="F2" s="2" t="s">
        <v>15</v>
      </c>
      <c r="G2" s="2" t="s">
        <v>16</v>
      </c>
      <c r="H2" s="2" t="s">
        <v>17</v>
      </c>
      <c r="I2" s="2">
        <v>2</v>
      </c>
      <c r="J2" s="2">
        <v>45000</v>
      </c>
      <c r="K2" s="2">
        <v>90000</v>
      </c>
      <c r="L2" s="5">
        <v>12000</v>
      </c>
    </row>
    <row r="3" spans="1:12" x14ac:dyDescent="0.2">
      <c r="A3" s="4">
        <v>1002</v>
      </c>
      <c r="B3" s="3">
        <v>45352</v>
      </c>
      <c r="C3" s="2" t="s">
        <v>12</v>
      </c>
      <c r="D3" s="2" t="s">
        <v>18</v>
      </c>
      <c r="E3" s="2" t="s">
        <v>19</v>
      </c>
      <c r="F3" s="2" t="s">
        <v>20</v>
      </c>
      <c r="G3" s="2" t="s">
        <v>21</v>
      </c>
      <c r="H3" s="2" t="s">
        <v>22</v>
      </c>
      <c r="I3" s="2">
        <v>10</v>
      </c>
      <c r="J3" s="2">
        <v>1500</v>
      </c>
      <c r="K3" s="2">
        <v>15000</v>
      </c>
      <c r="L3" s="5">
        <v>3000</v>
      </c>
    </row>
    <row r="4" spans="1:12" x14ac:dyDescent="0.2">
      <c r="A4" s="4">
        <v>1003</v>
      </c>
      <c r="B4" s="3">
        <v>45413</v>
      </c>
      <c r="C4" s="2" t="s">
        <v>12</v>
      </c>
      <c r="D4" s="2" t="s">
        <v>23</v>
      </c>
      <c r="E4" s="2" t="s">
        <v>24</v>
      </c>
      <c r="F4" s="2" t="s">
        <v>25</v>
      </c>
      <c r="G4" s="2" t="s">
        <v>16</v>
      </c>
      <c r="H4" s="2" t="s">
        <v>26</v>
      </c>
      <c r="I4" s="2">
        <v>5</v>
      </c>
      <c r="J4" s="2">
        <v>18000</v>
      </c>
      <c r="K4" s="2">
        <v>90000</v>
      </c>
      <c r="L4" s="5">
        <v>15000</v>
      </c>
    </row>
    <row r="5" spans="1:12" x14ac:dyDescent="0.2">
      <c r="A5" s="4">
        <v>1004</v>
      </c>
      <c r="B5" s="3">
        <v>45505</v>
      </c>
      <c r="C5" s="2" t="s">
        <v>12</v>
      </c>
      <c r="D5" s="2" t="s">
        <v>27</v>
      </c>
      <c r="E5" s="2" t="s">
        <v>28</v>
      </c>
      <c r="F5" s="2" t="s">
        <v>29</v>
      </c>
      <c r="G5" s="2" t="s">
        <v>30</v>
      </c>
      <c r="H5" s="2" t="s">
        <v>31</v>
      </c>
      <c r="I5" s="2">
        <v>1</v>
      </c>
      <c r="J5" s="2">
        <v>12000</v>
      </c>
      <c r="K5" s="2">
        <v>12000</v>
      </c>
      <c r="L5" s="5">
        <v>2500</v>
      </c>
    </row>
    <row r="6" spans="1:12" x14ac:dyDescent="0.2">
      <c r="A6" s="4">
        <v>1005</v>
      </c>
      <c r="B6" s="3">
        <v>45628</v>
      </c>
      <c r="C6" s="2" t="s">
        <v>32</v>
      </c>
      <c r="D6" s="2" t="s">
        <v>13</v>
      </c>
      <c r="E6" s="2" t="s">
        <v>33</v>
      </c>
      <c r="F6" s="2" t="s">
        <v>15</v>
      </c>
      <c r="G6" s="2" t="s">
        <v>21</v>
      </c>
      <c r="H6" s="2" t="s">
        <v>34</v>
      </c>
      <c r="I6" s="2">
        <v>3</v>
      </c>
      <c r="J6" s="2">
        <v>8000</v>
      </c>
      <c r="K6" s="2">
        <v>24000</v>
      </c>
      <c r="L6" s="5">
        <v>4000</v>
      </c>
    </row>
    <row r="7" spans="1:12" x14ac:dyDescent="0.2">
      <c r="A7" s="4">
        <v>1006</v>
      </c>
      <c r="B7" s="2" t="s">
        <v>35</v>
      </c>
      <c r="C7" s="2" t="s">
        <v>32</v>
      </c>
      <c r="D7" s="2" t="s">
        <v>18</v>
      </c>
      <c r="E7" s="2" t="s">
        <v>19</v>
      </c>
      <c r="F7" s="2" t="s">
        <v>20</v>
      </c>
      <c r="G7" s="2" t="s">
        <v>16</v>
      </c>
      <c r="H7" s="2" t="s">
        <v>36</v>
      </c>
      <c r="I7" s="2">
        <v>4</v>
      </c>
      <c r="J7" s="2">
        <v>20000</v>
      </c>
      <c r="K7" s="2">
        <v>80000</v>
      </c>
      <c r="L7" s="5">
        <v>10000</v>
      </c>
    </row>
    <row r="8" spans="1:12" x14ac:dyDescent="0.2">
      <c r="A8" s="4">
        <v>1007</v>
      </c>
      <c r="B8" s="2" t="s">
        <v>37</v>
      </c>
      <c r="C8" s="2" t="s">
        <v>32</v>
      </c>
      <c r="D8" s="2" t="s">
        <v>23</v>
      </c>
      <c r="E8" s="2" t="s">
        <v>38</v>
      </c>
      <c r="F8" s="2" t="s">
        <v>25</v>
      </c>
      <c r="G8" s="2" t="s">
        <v>30</v>
      </c>
      <c r="H8" s="2" t="s">
        <v>39</v>
      </c>
      <c r="I8" s="2">
        <v>2</v>
      </c>
      <c r="J8" s="2">
        <v>9000</v>
      </c>
      <c r="K8" s="2">
        <v>18000</v>
      </c>
      <c r="L8" s="5">
        <v>3000</v>
      </c>
    </row>
    <row r="9" spans="1:12" x14ac:dyDescent="0.2">
      <c r="A9" s="4">
        <v>1008</v>
      </c>
      <c r="B9" s="2" t="s">
        <v>40</v>
      </c>
      <c r="C9" s="2" t="s">
        <v>32</v>
      </c>
      <c r="D9" s="2" t="s">
        <v>27</v>
      </c>
      <c r="E9" s="2" t="s">
        <v>41</v>
      </c>
      <c r="F9" s="2" t="s">
        <v>29</v>
      </c>
      <c r="G9" s="2" t="s">
        <v>16</v>
      </c>
      <c r="H9" s="2" t="s">
        <v>17</v>
      </c>
      <c r="I9" s="2">
        <v>1</v>
      </c>
      <c r="J9" s="2">
        <v>50000</v>
      </c>
      <c r="K9" s="2">
        <v>50000</v>
      </c>
      <c r="L9" s="5">
        <v>7000</v>
      </c>
    </row>
    <row r="10" spans="1:12" x14ac:dyDescent="0.2">
      <c r="A10" s="4">
        <v>1009</v>
      </c>
      <c r="B10" s="3">
        <v>45415</v>
      </c>
      <c r="C10" s="2" t="s">
        <v>42</v>
      </c>
      <c r="D10" s="2" t="s">
        <v>13</v>
      </c>
      <c r="E10" s="2" t="s">
        <v>14</v>
      </c>
      <c r="F10" s="2" t="s">
        <v>15</v>
      </c>
      <c r="G10" s="2" t="s">
        <v>16</v>
      </c>
      <c r="H10" s="2" t="s">
        <v>26</v>
      </c>
      <c r="I10" s="2">
        <v>6</v>
      </c>
      <c r="J10" s="2">
        <v>17000</v>
      </c>
      <c r="K10" s="2">
        <v>102000</v>
      </c>
      <c r="L10" s="5">
        <v>16000</v>
      </c>
    </row>
    <row r="11" spans="1:12" x14ac:dyDescent="0.2">
      <c r="A11" s="4">
        <v>1010</v>
      </c>
      <c r="B11" s="3">
        <v>45568</v>
      </c>
      <c r="C11" s="2" t="s">
        <v>42</v>
      </c>
      <c r="D11" s="2" t="s">
        <v>18</v>
      </c>
      <c r="E11" s="2" t="s">
        <v>43</v>
      </c>
      <c r="F11" s="2" t="s">
        <v>20</v>
      </c>
      <c r="G11" s="2" t="s">
        <v>21</v>
      </c>
      <c r="H11" s="2" t="s">
        <v>44</v>
      </c>
      <c r="I11" s="2">
        <v>1</v>
      </c>
      <c r="J11" s="2">
        <v>30000</v>
      </c>
      <c r="K11" s="2">
        <v>30000</v>
      </c>
      <c r="L11" s="5">
        <v>6000</v>
      </c>
    </row>
    <row r="12" spans="1:12" x14ac:dyDescent="0.2">
      <c r="A12" s="4">
        <v>1011</v>
      </c>
      <c r="B12" s="2" t="s">
        <v>45</v>
      </c>
      <c r="C12" s="2" t="s">
        <v>42</v>
      </c>
      <c r="D12" s="2" t="s">
        <v>23</v>
      </c>
      <c r="E12" s="2" t="s">
        <v>24</v>
      </c>
      <c r="F12" s="2" t="s">
        <v>25</v>
      </c>
      <c r="G12" s="2" t="s">
        <v>16</v>
      </c>
      <c r="H12" s="2" t="s">
        <v>46</v>
      </c>
      <c r="I12" s="2">
        <v>8</v>
      </c>
      <c r="J12" s="2">
        <v>2500</v>
      </c>
      <c r="K12" s="2">
        <v>20000</v>
      </c>
      <c r="L12" s="5">
        <v>3500</v>
      </c>
    </row>
    <row r="13" spans="1:12" ht="15" thickBot="1" x14ac:dyDescent="0.25">
      <c r="A13" s="6">
        <v>1012</v>
      </c>
      <c r="B13" s="7" t="s">
        <v>47</v>
      </c>
      <c r="C13" s="7" t="s">
        <v>42</v>
      </c>
      <c r="D13" s="7" t="s">
        <v>27</v>
      </c>
      <c r="E13" s="7" t="s">
        <v>48</v>
      </c>
      <c r="F13" s="7" t="s">
        <v>29</v>
      </c>
      <c r="G13" s="7" t="s">
        <v>30</v>
      </c>
      <c r="H13" s="7" t="s">
        <v>49</v>
      </c>
      <c r="I13" s="7">
        <v>2</v>
      </c>
      <c r="J13" s="7">
        <v>15000</v>
      </c>
      <c r="K13" s="7">
        <v>30000</v>
      </c>
      <c r="L13" s="8">
        <v>5000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omprakash raj</dc:creator>
  <cp:lastModifiedBy>omprakash raj</cp:lastModifiedBy>
  <cp:lastPrinted>2025-12-26T04:53:56Z</cp:lastPrinted>
  <dcterms:created xsi:type="dcterms:W3CDTF">2025-12-25T13:12:24Z</dcterms:created>
  <dcterms:modified xsi:type="dcterms:W3CDTF">2025-12-27T03:04:29Z</dcterms:modified>
</cp:coreProperties>
</file>